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30B169A0-493C-48C0-A779-07CAD6F348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nline Retail" sheetId="1" r:id="rId1"/>
    <sheet name="Pivot tables &amp; charts " sheetId="4" r:id="rId2"/>
    <sheet name="Dashboard" sheetId="5" r:id="rId3"/>
  </sheets>
  <definedNames>
    <definedName name="_xlnm._FilterDatabase" localSheetId="0" hidden="1">'Online Retail'!$A$1:$K$683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3" i="1"/>
  <c r="L4" i="1"/>
  <c r="L5" i="1"/>
  <c r="L6" i="1"/>
  <c r="L7" i="1"/>
  <c r="L8" i="1"/>
  <c r="L9" i="1"/>
  <c r="L10" i="1"/>
  <c r="L11" i="1"/>
  <c r="L12" i="1"/>
  <c r="L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2" i="1"/>
</calcChain>
</file>

<file path=xl/sharedStrings.xml><?xml version="1.0" encoding="utf-8"?>
<sst xmlns="http://schemas.openxmlformats.org/spreadsheetml/2006/main" count="1505" uniqueCount="523">
  <si>
    <t>InvoiceNo</t>
  </si>
  <si>
    <t>Description</t>
  </si>
  <si>
    <t>UnitPrice</t>
  </si>
  <si>
    <t>CustomerID</t>
  </si>
  <si>
    <t>85123A</t>
  </si>
  <si>
    <t>United Kingdom</t>
  </si>
  <si>
    <t>84406B</t>
  </si>
  <si>
    <t>84029G</t>
  </si>
  <si>
    <t>84029E</t>
  </si>
  <si>
    <t>France</t>
  </si>
  <si>
    <t>POST</t>
  </si>
  <si>
    <t>82494L</t>
  </si>
  <si>
    <t>85099C</t>
  </si>
  <si>
    <t>84997B</t>
  </si>
  <si>
    <t>84997C</t>
  </si>
  <si>
    <t>84519A</t>
  </si>
  <si>
    <t>85183B</t>
  </si>
  <si>
    <t>85071B</t>
  </si>
  <si>
    <t>37444A</t>
  </si>
  <si>
    <t>37444C</t>
  </si>
  <si>
    <t>84971S</t>
  </si>
  <si>
    <t>15056BL</t>
  </si>
  <si>
    <t>15056N</t>
  </si>
  <si>
    <t>C536379</t>
  </si>
  <si>
    <t>D</t>
  </si>
  <si>
    <t>Discount</t>
  </si>
  <si>
    <t>C536383</t>
  </si>
  <si>
    <t>35004C</t>
  </si>
  <si>
    <t>85049A</t>
  </si>
  <si>
    <t>85099B</t>
  </si>
  <si>
    <t>Australia</t>
  </si>
  <si>
    <t>35004G</t>
  </si>
  <si>
    <t>85014B</t>
  </si>
  <si>
    <t>85014A</t>
  </si>
  <si>
    <t>84970S</t>
  </si>
  <si>
    <t>84030E</t>
  </si>
  <si>
    <t>C536391</t>
  </si>
  <si>
    <t>35004B</t>
  </si>
  <si>
    <t>85049E</t>
  </si>
  <si>
    <t>17091A</t>
  </si>
  <si>
    <t>84509A</t>
  </si>
  <si>
    <t>84510A</t>
  </si>
  <si>
    <t>84709B</t>
  </si>
  <si>
    <t>84625C</t>
  </si>
  <si>
    <t>84625A</t>
  </si>
  <si>
    <t>47570B</t>
  </si>
  <si>
    <t>Netherlands</t>
  </si>
  <si>
    <t>85049C</t>
  </si>
  <si>
    <t>85049D</t>
  </si>
  <si>
    <t>85049G</t>
  </si>
  <si>
    <t>84970L</t>
  </si>
  <si>
    <t>90199C</t>
  </si>
  <si>
    <t>90129F</t>
  </si>
  <si>
    <t>90210B</t>
  </si>
  <si>
    <t>72802C</t>
  </si>
  <si>
    <t>85169B</t>
  </si>
  <si>
    <t>85099F</t>
  </si>
  <si>
    <t>85184C</t>
  </si>
  <si>
    <t>35591T</t>
  </si>
  <si>
    <t>84032B</t>
  </si>
  <si>
    <t>85049H</t>
  </si>
  <si>
    <t>Transaction Type</t>
  </si>
  <si>
    <t xml:space="preserve">Product Code </t>
  </si>
  <si>
    <t xml:space="preserve">Units Sold </t>
  </si>
  <si>
    <t>Date of Transaction</t>
  </si>
  <si>
    <t>Time of Transaction</t>
  </si>
  <si>
    <t>Sales Region</t>
  </si>
  <si>
    <t>Total transaction value</t>
  </si>
  <si>
    <t>White Hanging Heart T-Light Holder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</si>
  <si>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</si>
  <si>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</si>
  <si>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</si>
  <si>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</si>
  <si>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</si>
  <si>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</si>
  <si>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</si>
  <si>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</si>
  <si>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</si>
  <si>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</si>
  <si>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</si>
  <si>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</si>
  <si>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</si>
  <si>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</si>
  <si>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</si>
  <si>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</si>
  <si>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</si>
  <si>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</si>
  <si>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</si>
  <si>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</si>
  <si>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</si>
  <si>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</si>
  <si>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</si>
  <si>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</si>
  <si>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</si>
  <si>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</si>
  <si>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</si>
  <si>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</si>
  <si>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</si>
  <si>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</si>
  <si>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</si>
  <si>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</si>
  <si>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</si>
  <si>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</si>
  <si>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</si>
  <si>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</si>
  <si>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</si>
  <si>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</si>
  <si>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</si>
  <si>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</si>
  <si>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</si>
  <si>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</si>
  <si>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</si>
  <si>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</si>
  <si>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</si>
  <si>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</si>
  <si>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</si>
  <si>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</si>
  <si>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</si>
  <si>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</si>
  <si>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</si>
  <si>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</si>
  <si>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</si>
  <si>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</si>
  <si>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</si>
  <si>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</si>
  <si>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</si>
  <si>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</si>
  <si>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</si>
  <si>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</si>
  <si>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</si>
  <si>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</si>
  <si>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</si>
  <si>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</si>
  <si>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</si>
  <si>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</si>
  <si>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</si>
  <si>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</si>
  <si>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</si>
  <si>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</si>
  <si>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</si>
  <si>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</si>
  <si>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</si>
  <si>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</si>
  <si>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</si>
  <si>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</si>
  <si>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</si>
  <si>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</si>
  <si>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</si>
  <si>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</si>
  <si>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</si>
  <si>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</si>
  <si>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</si>
  <si>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</si>
  <si>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</si>
  <si>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</si>
  <si>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</si>
  <si>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</si>
  <si>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</si>
  <si>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</si>
  <si>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</si>
  <si>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</si>
  <si>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Yellow Breakfast Cup And Saucer</t>
  </si>
  <si>
    <t xml:space="preserve">Pink Breakfast Cup And Saucer </t>
  </si>
  <si>
    <t>Paper Chain Kit Retrospot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</si>
  <si>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</si>
  <si>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</si>
  <si>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</si>
  <si>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</si>
  <si>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</si>
  <si>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</si>
  <si>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</si>
  <si>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</si>
  <si>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</si>
  <si>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</si>
  <si>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</si>
  <si>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</si>
  <si>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</si>
  <si>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</si>
  <si>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</si>
  <si>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</si>
  <si>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</si>
  <si>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</si>
  <si>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</si>
  <si>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</si>
  <si>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</si>
  <si>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</si>
  <si>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</si>
  <si>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</si>
  <si>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</si>
  <si>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</si>
  <si>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</si>
  <si>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</si>
  <si>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</si>
  <si>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</si>
  <si>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</si>
  <si>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</si>
  <si>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</si>
  <si>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</si>
  <si>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</si>
  <si>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</si>
  <si>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</si>
  <si>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</si>
  <si>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</si>
  <si>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</si>
  <si>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 xml:space="preserve">Organiser Wood Antique White </t>
  </si>
  <si>
    <t>Lunch Bag Dolly Girl Design</t>
  </si>
  <si>
    <t>White Wire Egg Holder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</si>
  <si>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</si>
  <si>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</si>
  <si>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</si>
  <si>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</si>
  <si>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</si>
  <si>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</si>
  <si>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</si>
  <si>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</si>
  <si>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</si>
  <si>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</si>
  <si>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</si>
  <si>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</si>
  <si>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</si>
  <si>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</si>
  <si>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</si>
  <si>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</si>
  <si>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</si>
  <si>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</si>
  <si>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</si>
  <si>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</si>
  <si>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</si>
  <si>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</si>
  <si>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</si>
  <si>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</si>
  <si>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</si>
  <si>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</si>
  <si>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</si>
  <si>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</si>
  <si>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</si>
  <si>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</si>
  <si>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</si>
  <si>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</si>
  <si>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</si>
  <si>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</si>
  <si>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</si>
  <si>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</si>
  <si>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</si>
  <si>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</si>
  <si>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</si>
  <si>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</si>
  <si>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</si>
  <si>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</si>
  <si>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</si>
  <si>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</si>
  <si>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</si>
  <si>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</si>
  <si>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</si>
  <si>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</si>
  <si>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</si>
  <si>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</si>
  <si>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</si>
  <si>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</si>
  <si>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</si>
  <si>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</si>
  <si>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</si>
  <si>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</si>
  <si>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</si>
  <si>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</si>
  <si>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</si>
  <si>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</si>
  <si>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</si>
  <si>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</si>
  <si>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</si>
  <si>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</si>
  <si>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</si>
  <si>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</si>
  <si>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</si>
  <si>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</si>
  <si>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</si>
  <si>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</si>
  <si>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</si>
  <si>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</si>
  <si>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</si>
  <si>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</si>
  <si>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</si>
  <si>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</si>
  <si>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</si>
  <si>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</si>
  <si>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</si>
  <si>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</si>
  <si>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</si>
  <si>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</si>
  <si>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</si>
  <si>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</si>
  <si>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</si>
  <si>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</si>
  <si>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</si>
  <si>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</si>
  <si>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</si>
  <si>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 xml:space="preserve">Balloons  Writing Set </t>
  </si>
  <si>
    <t>Lavender Incense In Tin</t>
  </si>
  <si>
    <t>Tv Dinner Tray Vintage Paisley</t>
  </si>
  <si>
    <t>Set Of 4 English Rose Placemats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</si>
  <si>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</si>
  <si>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</si>
  <si>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</si>
  <si>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</si>
  <si>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</si>
  <si>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</si>
  <si>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</si>
  <si>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</si>
  <si>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</si>
  <si>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</si>
  <si>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</si>
  <si>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</si>
  <si>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</si>
  <si>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</si>
  <si>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</si>
  <si>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</si>
  <si>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</si>
  <si>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</si>
  <si>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</si>
  <si>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</si>
  <si>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</si>
  <si>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</si>
  <si>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</si>
  <si>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</si>
  <si>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</si>
  <si>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</si>
  <si>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</si>
  <si>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</si>
  <si>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</si>
  <si>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</si>
  <si>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</si>
  <si>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</si>
  <si>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</si>
  <si>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</si>
  <si>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</si>
  <si>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</si>
  <si>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</si>
  <si>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</si>
  <si>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</si>
  <si>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</si>
  <si>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</si>
  <si>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 xml:space="preserve">Hot Water Bottle Babushka 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</si>
  <si>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</si>
  <si>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</si>
  <si>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</si>
  <si>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</si>
  <si>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</si>
  <si>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</si>
  <si>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 xml:space="preserve">Romantic Pinks Ribbons </t>
  </si>
  <si>
    <t xml:space="preserve">Bright Blues Ribbons 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</si>
  <si>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</si>
  <si>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</si>
  <si>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</si>
  <si>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</si>
  <si>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</si>
  <si>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</si>
  <si>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</si>
  <si>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</si>
  <si>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</si>
  <si>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</si>
  <si>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</si>
  <si>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</si>
  <si>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</si>
  <si>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</si>
  <si>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</si>
  <si>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</si>
  <si>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</si>
  <si>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</si>
  <si>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</si>
  <si>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</si>
  <si>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</si>
  <si>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</si>
  <si>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</si>
  <si>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</si>
  <si>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</si>
  <si>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</si>
  <si>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</si>
  <si>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</si>
  <si>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</si>
  <si>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</si>
  <si>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</si>
  <si>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</si>
  <si>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</si>
  <si>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</si>
  <si>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</si>
  <si>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</si>
  <si>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</si>
  <si>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</si>
  <si>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</si>
  <si>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</si>
  <si>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</si>
  <si>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</si>
  <si>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</si>
  <si>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</si>
  <si>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</si>
  <si>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</si>
  <si>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</si>
  <si>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</si>
  <si>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</si>
  <si>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</si>
  <si>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</si>
  <si>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</si>
  <si>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</si>
  <si>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</si>
  <si>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</si>
  <si>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</si>
  <si>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</si>
  <si>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</si>
  <si>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</si>
  <si>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</si>
  <si>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</si>
  <si>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</si>
  <si>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</si>
  <si>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</si>
  <si>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</si>
  <si>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</si>
  <si>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</si>
  <si>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</si>
  <si>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</si>
  <si>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</si>
  <si>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</si>
  <si>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</si>
  <si>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</si>
  <si>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</si>
  <si>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</si>
  <si>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</si>
  <si>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</si>
  <si>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</si>
  <si>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</si>
  <si>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</si>
  <si>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</si>
  <si>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</si>
  <si>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</si>
  <si>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</si>
  <si>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</si>
  <si>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</si>
  <si>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</si>
  <si>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</si>
  <si>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</si>
  <si>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</si>
  <si>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</si>
  <si>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</si>
  <si>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</si>
  <si>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</si>
  <si>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</si>
  <si>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</si>
  <si>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</si>
  <si>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</si>
  <si>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</si>
  <si>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</si>
  <si>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</si>
  <si>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</si>
  <si>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</si>
  <si>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</si>
  <si>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</si>
  <si>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</si>
  <si>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</si>
  <si>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</si>
  <si>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</si>
  <si>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</si>
  <si>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</si>
  <si>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</si>
  <si>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</si>
  <si>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</si>
  <si>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</si>
  <si>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</si>
  <si>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</si>
  <si>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</si>
  <si>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</si>
  <si>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</si>
  <si>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</si>
  <si>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</si>
  <si>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</si>
  <si>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</si>
  <si>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</si>
  <si>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</si>
  <si>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</si>
  <si>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</si>
  <si>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</si>
  <si>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</si>
  <si>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</si>
  <si>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</si>
  <si>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</si>
  <si>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</si>
  <si>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</si>
  <si>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</si>
  <si>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</si>
  <si>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</si>
  <si>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</si>
  <si>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</si>
  <si>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</si>
  <si>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</si>
  <si>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</si>
  <si>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</si>
  <si>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</si>
  <si>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</si>
  <si>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</si>
  <si>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</si>
  <si>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</si>
  <si>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Charlie + Lola Red Hot Water Bottle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</si>
  <si>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</si>
  <si>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</si>
  <si>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</si>
  <si>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</si>
  <si>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</si>
  <si>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</si>
  <si>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</si>
  <si>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</si>
  <si>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</si>
  <si>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</si>
  <si>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</si>
  <si>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</si>
  <si>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Row Labels</t>
  </si>
  <si>
    <t>Grand Total</t>
  </si>
  <si>
    <t>Sale</t>
  </si>
  <si>
    <t>Return</t>
  </si>
  <si>
    <t>Sum of Total transaction value</t>
  </si>
  <si>
    <t xml:space="preserve">Sum of Units Sold </t>
  </si>
  <si>
    <t xml:space="preserve">Sales Fixed </t>
  </si>
  <si>
    <t xml:space="preserve"> 02-02-2010</t>
  </si>
  <si>
    <t xml:space="preserve"> 02-02-2011</t>
  </si>
  <si>
    <t xml:space="preserve"> 02-02-2012</t>
  </si>
  <si>
    <t xml:space="preserve"> 02-02-2013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</si>
</sst>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Retail Data Set.xlsx]Pivot tables &amp; charts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7.7251566560456314E-3"/>
              <c:y val="-0.190671136917734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 &amp; charts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7A59-4503-BADB-39F16A21D3F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7A59-4503-BADB-39F16A21D3F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A59-4503-BADB-39F16A21D3F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7A59-4503-BADB-39F16A21D3FB}"/>
              </c:ext>
            </c:extLst>
          </c:dPt>
          <c:dLbls>
            <c:dLbl>
              <c:idx val="0"/>
              <c:layout>
                <c:manualLayout>
                  <c:x val="5.5555555555555558E-3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59-4503-BADB-39F16A21D3FB}"/>
                </c:ext>
              </c:extLst>
            </c:dLbl>
            <c:dLbl>
              <c:idx val="1"/>
              <c:layout>
                <c:manualLayout>
                  <c:x val="8.3333333333333332E-3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59-4503-BADB-39F16A21D3FB}"/>
                </c:ext>
              </c:extLst>
            </c:dLbl>
            <c:dLbl>
              <c:idx val="2"/>
              <c:layout>
                <c:manualLayout>
                  <c:x val="0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59-4503-BADB-39F16A21D3FB}"/>
                </c:ext>
              </c:extLst>
            </c:dLbl>
            <c:dLbl>
              <c:idx val="3"/>
              <c:layout>
                <c:manualLayout>
                  <c:x val="7.7251566560456314E-3"/>
                  <c:y val="-0.190671136917734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59-4503-BADB-39F16A21D3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charts '!$A$4:$A$8</c:f>
              <c:strCache>
                <c:ptCount val="4"/>
                <c:pt idx="0">
                  <c:v>Australia</c:v>
                </c:pt>
                <c:pt idx="1">
                  <c:v>France</c:v>
                </c:pt>
                <c:pt idx="2">
                  <c:v>Netherlands</c:v>
                </c:pt>
                <c:pt idx="3">
                  <c:v>United Kingdom</c:v>
                </c:pt>
              </c:strCache>
            </c:strRef>
          </c:cat>
          <c:val>
            <c:numRef>
              <c:f>'Pivot tables &amp; charts '!$B$4:$B$8</c:f>
              <c:numCache>
                <c:formatCode>"₹"\ #,##0.00</c:formatCode>
                <c:ptCount val="4"/>
                <c:pt idx="0">
                  <c:v>358.25</c:v>
                </c:pt>
                <c:pt idx="1">
                  <c:v>855.86</c:v>
                </c:pt>
                <c:pt idx="2">
                  <c:v>192.60000000000002</c:v>
                </c:pt>
                <c:pt idx="3">
                  <c:v>16755.98000000005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9-4503-BADB-39F16A21D3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21913648"/>
        <c:axId val="1121897808"/>
        <c:axId val="0"/>
      </c:bar3DChart>
      <c:catAx>
        <c:axId val="112191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97808"/>
        <c:crosses val="autoZero"/>
        <c:auto val="1"/>
        <c:lblAlgn val="ctr"/>
        <c:lblOffset val="100"/>
        <c:noMultiLvlLbl val="0"/>
      </c:catAx>
      <c:valAx>
        <c:axId val="11218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1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Retail Data Set.xlsx]Pivot tables &amp; charts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Return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&amp; charts 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D8-46A3-8DAF-3278FEBA600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D8-46A3-8DAF-3278FEBA600D}"/>
              </c:ext>
            </c:extLst>
          </c:dPt>
          <c:cat>
            <c:strRef>
              <c:f>'Pivot tables &amp; charts '!$E$4:$E$6</c:f>
              <c:strCache>
                <c:ptCount val="2"/>
                <c:pt idx="0">
                  <c:v>Return</c:v>
                </c:pt>
                <c:pt idx="1">
                  <c:v>Sale</c:v>
                </c:pt>
              </c:strCache>
            </c:strRef>
          </c:cat>
          <c:val>
            <c:numRef>
              <c:f>'Pivot tables &amp; charts '!$F$4:$F$6</c:f>
              <c:numCache>
                <c:formatCode>"₹"\ #,##0.00</c:formatCode>
                <c:ptCount val="2"/>
                <c:pt idx="0">
                  <c:v>-173.62999999999997</c:v>
                </c:pt>
                <c:pt idx="1">
                  <c:v>18336.320000000029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D-43C4-919B-900D286E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Retail Data Set.xlsx]Pivot tables &amp; charts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Selling Products </a:t>
            </a:r>
            <a:endParaRPr lang="en-US"/>
          </a:p>
        </c:rich>
      </c:tx>
      <c:layout>
        <c:manualLayout>
          <c:xMode val="edge"/>
          <c:yMode val="edge"/>
          <c:x val="0.28621394915146048"/>
          <c:y val="0.11978098445774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 &amp; charts 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charts '!$A$26:$A$31</c:f>
              <c:strCache>
                <c:ptCount val="5"/>
                <c:pt idx="0">
                  <c:v>Red Toadstool Led Night Light</c:v>
                </c:pt>
                <c:pt idx="1">
                  <c:v>Fairy Tale Cottage Nightlight</c:v>
                </c:pt>
                <c:pt idx="2">
                  <c:v>Disco Ball Christmas Decoration</c:v>
                </c:pt>
                <c:pt idx="3">
                  <c:v>Jumbo Bag Red Retrospot</c:v>
                </c:pt>
                <c:pt idx="4">
                  <c:v>Pack Of 72 Retrospot Cake Cases</c:v>
                </c:pt>
              </c:strCache>
            </c:strRef>
          </c:cat>
          <c:val>
            <c:numRef>
              <c:f>'Pivot tables &amp; charts '!$B$26:$B$31</c:f>
              <c:numCache>
                <c:formatCode>0</c:formatCode>
                <c:ptCount val="5"/>
                <c:pt idx="0">
                  <c:v>463</c:v>
                </c:pt>
                <c:pt idx="1">
                  <c:v>432</c:v>
                </c:pt>
                <c:pt idx="2">
                  <c:v>312</c:v>
                </c:pt>
                <c:pt idx="3">
                  <c:v>202</c:v>
                </c:pt>
                <c:pt idx="4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8-4555-ACF6-C81A839BEF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21917968"/>
        <c:axId val="1121918448"/>
        <c:axId val="0"/>
      </c:bar3DChart>
      <c:catAx>
        <c:axId val="112191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18448"/>
        <c:crosses val="autoZero"/>
        <c:auto val="1"/>
        <c:lblAlgn val="ctr"/>
        <c:lblOffset val="100"/>
        <c:noMultiLvlLbl val="0"/>
      </c:catAx>
      <c:valAx>
        <c:axId val="112191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1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[Online Retail Data Set.xlsx]Pivot tables &amp; charts 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&amp; charts '!$F$25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charts '!$E$26:$E$36</c:f>
              <c:strCache>
                <c:ptCount val="10"/>
                <c:pt idx="0">
                  <c:v>01-12-2010</c:v>
                </c:pt>
                <c:pt idx="1">
                  <c:v>01-12-2010</c:v>
                </c:pt>
                <c:pt idx="2">
                  <c:v>01-12-2010</c:v>
                </c:pt>
                <c:pt idx="3">
                  <c:v>01-12-2010</c:v>
                </c:pt>
                <c:pt idx="4">
                  <c:v>01-12-2010</c:v>
                </c:pt>
                <c:pt idx="5">
                  <c:v>01-12-2010</c:v>
                </c:pt>
                <c:pt idx="6">
                  <c:v>01-12-2010</c:v>
                </c:pt>
                <c:pt idx="7">
                  <c:v>01-12-2010</c:v>
                </c:pt>
                <c:pt idx="8">
                  <c:v>01-12-2010</c:v>
                </c:pt>
                <c:pt idx="9">
                  <c:v>01-12-2010</c:v>
                </c:pt>
              </c:strCache>
            </c:strRef>
          </c:cat>
          <c:val>
            <c:numRef>
              <c:f>'Pivot tables &amp; charts '!$F$26:$F$36</c:f>
              <c:numCache>
                <c:formatCode>"₹"\ #,##0.00</c:formatCode>
                <c:ptCount val="10"/>
                <c:pt idx="0">
                  <c:v>855.86</c:v>
                </c:pt>
                <c:pt idx="1">
                  <c:v>588.66000000000008</c:v>
                </c:pt>
                <c:pt idx="2">
                  <c:v>489.6</c:v>
                </c:pt>
                <c:pt idx="3">
                  <c:v>508.20000000000005</c:v>
                </c:pt>
                <c:pt idx="4">
                  <c:v>3193.92</c:v>
                </c:pt>
                <c:pt idx="5">
                  <c:v>1825.74</c:v>
                </c:pt>
                <c:pt idx="6">
                  <c:v>1024.6800000000003</c:v>
                </c:pt>
                <c:pt idx="7">
                  <c:v>507.88000000000011</c:v>
                </c:pt>
                <c:pt idx="8">
                  <c:v>655.36000000000013</c:v>
                </c:pt>
                <c:pt idx="9">
                  <c:v>783.1099999999999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A-4EF3-A8A1-980EF9BFD1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6136079"/>
        <c:axId val="1326129839"/>
      </c:lineChart>
      <c:catAx>
        <c:axId val="132613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129839"/>
        <c:crosses val="autoZero"/>
        <c:auto val="1"/>
        <c:lblAlgn val="ctr"/>
        <c:lblOffset val="100"/>
        <c:noMultiLvlLbl val="0"/>
      </c:catAx>
      <c:valAx>
        <c:axId val="132612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13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[Online Retail Data Set.xlsx]Pivot tables &amp; charts 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 </a:t>
            </a:r>
            <a:endParaRPr lang="en-US"/>
          </a:p>
        </c:rich>
      </c:tx>
      <c:layout>
        <c:manualLayout>
          <c:xMode val="edge"/>
          <c:yMode val="edge"/>
          <c:x val="0.27696880913141669"/>
          <c:y val="0.12020858870213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112E-2"/>
              <c:y val="-0.24074074074074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112E-2"/>
              <c:y val="-0.24074074074074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8.3333333333333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111029725935421E-2"/>
              <c:y val="-0.203801549872229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 &amp; charts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04E-4BDB-BEE4-23ED3C8EFA9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04E-4BDB-BEE4-23ED3C8EFA9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04E-4BDB-BEE4-23ED3C8EFA9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F04E-4BDB-BEE4-23ED3C8EFA95}"/>
              </c:ext>
            </c:extLst>
          </c:dPt>
          <c:dLbls>
            <c:dLbl>
              <c:idx val="0"/>
              <c:layout>
                <c:manualLayout>
                  <c:x val="5.5555555555555558E-3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4E-4BDB-BEE4-23ED3C8EFA95}"/>
                </c:ext>
              </c:extLst>
            </c:dLbl>
            <c:dLbl>
              <c:idx val="1"/>
              <c:layout>
                <c:manualLayout>
                  <c:x val="8.3333333333333332E-3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4E-4BDB-BEE4-23ED3C8EFA95}"/>
                </c:ext>
              </c:extLst>
            </c:dLbl>
            <c:dLbl>
              <c:idx val="2"/>
              <c:layout>
                <c:manualLayout>
                  <c:x val="0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4E-4BDB-BEE4-23ED3C8EFA95}"/>
                </c:ext>
              </c:extLst>
            </c:dLbl>
            <c:dLbl>
              <c:idx val="3"/>
              <c:layout>
                <c:manualLayout>
                  <c:x val="1.1111029725935421E-2"/>
                  <c:y val="-0.203801549872229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4E-4BDB-BEE4-23ED3C8EFA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charts '!$A$4:$A$8</c:f>
              <c:strCache>
                <c:ptCount val="4"/>
                <c:pt idx="0">
                  <c:v>Australia</c:v>
                </c:pt>
                <c:pt idx="1">
                  <c:v>France</c:v>
                </c:pt>
                <c:pt idx="2">
                  <c:v>Netherlands</c:v>
                </c:pt>
                <c:pt idx="3">
                  <c:v>United Kingdom</c:v>
                </c:pt>
              </c:strCache>
            </c:strRef>
          </c:cat>
          <c:val>
            <c:numRef>
              <c:f>'Pivot tables &amp; charts '!$B$4:$B$8</c:f>
              <c:numCache>
                <c:formatCode>"₹"\ #,##0.00</c:formatCode>
                <c:ptCount val="4"/>
                <c:pt idx="0">
                  <c:v>358.25</c:v>
                </c:pt>
                <c:pt idx="1">
                  <c:v>855.86</c:v>
                </c:pt>
                <c:pt idx="2">
                  <c:v>192.60000000000002</c:v>
                </c:pt>
                <c:pt idx="3">
                  <c:v>16755.98000000005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4E-4BDB-BEE4-23ED3C8EFA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21913648"/>
        <c:axId val="1121897808"/>
        <c:axId val="0"/>
      </c:bar3DChart>
      <c:catAx>
        <c:axId val="112191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97808"/>
        <c:crosses val="autoZero"/>
        <c:auto val="1"/>
        <c:lblAlgn val="ctr"/>
        <c:lblOffset val="100"/>
        <c:noMultiLvlLbl val="0"/>
      </c:catAx>
      <c:valAx>
        <c:axId val="11218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1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Retail Data Set.xlsx]Pivot tables &amp; charts 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Return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&amp; charts 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D8-4C22-BC25-99088132BE8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D8-4C22-BC25-99088132BE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&amp; charts '!$E$4:$E$6</c:f>
              <c:strCache>
                <c:ptCount val="2"/>
                <c:pt idx="0">
                  <c:v>Return</c:v>
                </c:pt>
                <c:pt idx="1">
                  <c:v>Sale</c:v>
                </c:pt>
              </c:strCache>
            </c:strRef>
          </c:cat>
          <c:val>
            <c:numRef>
              <c:f>'Pivot tables &amp; charts '!$F$4:$F$6</c:f>
              <c:numCache>
                <c:formatCode>"₹"\ #,##0.00</c:formatCode>
                <c:ptCount val="2"/>
                <c:pt idx="0">
                  <c:v>-173.62999999999997</c:v>
                </c:pt>
                <c:pt idx="1">
                  <c:v>18336.320000000029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D8-4C22-BC25-99088132BE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Retail Data Set.xlsx]Pivot tables &amp; charts 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Selling Products </a:t>
            </a:r>
            <a:endParaRPr lang="en-US"/>
          </a:p>
        </c:rich>
      </c:tx>
      <c:layout>
        <c:manualLayout>
          <c:xMode val="edge"/>
          <c:yMode val="edge"/>
          <c:x val="0.30070088569207581"/>
          <c:y val="0.11691395718392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 &amp; charts 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charts '!$A$26:$A$31</c:f>
              <c:strCache>
                <c:ptCount val="5"/>
                <c:pt idx="0">
                  <c:v>Red Toadstool Led Night Light</c:v>
                </c:pt>
                <c:pt idx="1">
                  <c:v>Fairy Tale Cottage Nightlight</c:v>
                </c:pt>
                <c:pt idx="2">
                  <c:v>Disco Ball Christmas Decoration</c:v>
                </c:pt>
                <c:pt idx="3">
                  <c:v>Jumbo Bag Red Retrospot</c:v>
                </c:pt>
                <c:pt idx="4">
                  <c:v>Pack Of 72 Retrospot Cake Cases</c:v>
                </c:pt>
              </c:strCache>
            </c:strRef>
          </c:cat>
          <c:val>
            <c:numRef>
              <c:f>'Pivot tables &amp; charts '!$B$26:$B$31</c:f>
              <c:numCache>
                <c:formatCode>0</c:formatCode>
                <c:ptCount val="5"/>
                <c:pt idx="0">
                  <c:v>463</c:v>
                </c:pt>
                <c:pt idx="1">
                  <c:v>432</c:v>
                </c:pt>
                <c:pt idx="2">
                  <c:v>312</c:v>
                </c:pt>
                <c:pt idx="3">
                  <c:v>202</c:v>
                </c:pt>
                <c:pt idx="4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D-47E5-98BD-D785C4C94E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21917968"/>
        <c:axId val="1121918448"/>
        <c:axId val="0"/>
      </c:bar3DChart>
      <c:catAx>
        <c:axId val="112191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18448"/>
        <c:crosses val="autoZero"/>
        <c:auto val="1"/>
        <c:lblAlgn val="ctr"/>
        <c:lblOffset val="100"/>
        <c:noMultiLvlLbl val="0"/>
      </c:catAx>
      <c:valAx>
        <c:axId val="112191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1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[Online Retail Data Set.xlsx]Pivot tables &amp; charts 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&amp; charts '!$F$25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charts '!$E$26:$E$36</c:f>
              <c:strCache>
                <c:ptCount val="10"/>
                <c:pt idx="0">
                  <c:v>01-12-2010</c:v>
                </c:pt>
                <c:pt idx="1">
                  <c:v>01-12-2010</c:v>
                </c:pt>
                <c:pt idx="2">
                  <c:v>01-12-2010</c:v>
                </c:pt>
                <c:pt idx="3">
                  <c:v>01-12-2010</c:v>
                </c:pt>
                <c:pt idx="4">
                  <c:v>01-12-2010</c:v>
                </c:pt>
                <c:pt idx="5">
                  <c:v>01-12-2010</c:v>
                </c:pt>
                <c:pt idx="6">
                  <c:v>01-12-2010</c:v>
                </c:pt>
                <c:pt idx="7">
                  <c:v>01-12-2010</c:v>
                </c:pt>
                <c:pt idx="8">
                  <c:v>01-12-2010</c:v>
                </c:pt>
                <c:pt idx="9">
                  <c:v>01-12-2010</c:v>
                </c:pt>
              </c:strCache>
            </c:strRef>
          </c:cat>
          <c:val>
            <c:numRef>
              <c:f>'Pivot tables &amp; charts '!$F$26:$F$36</c:f>
              <c:numCache>
                <c:formatCode>"₹"\ #,##0.00</c:formatCode>
                <c:ptCount val="10"/>
                <c:pt idx="0">
                  <c:v>855.86</c:v>
                </c:pt>
                <c:pt idx="1">
                  <c:v>588.66000000000008</c:v>
                </c:pt>
                <c:pt idx="2">
                  <c:v>489.6</c:v>
                </c:pt>
                <c:pt idx="3">
                  <c:v>508.20000000000005</c:v>
                </c:pt>
                <c:pt idx="4">
                  <c:v>3193.92</c:v>
                </c:pt>
                <c:pt idx="5">
                  <c:v>1825.74</c:v>
                </c:pt>
                <c:pt idx="6">
                  <c:v>1024.6800000000003</c:v>
                </c:pt>
                <c:pt idx="7">
                  <c:v>507.88000000000011</c:v>
                </c:pt>
                <c:pt idx="8">
                  <c:v>655.36000000000013</c:v>
                </c:pt>
                <c:pt idx="9">
                  <c:v>783.1099999999999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8-4F8E-9CFC-D8BB778F9E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6136079"/>
        <c:axId val="1326129839"/>
      </c:lineChart>
      <c:catAx>
        <c:axId val="132613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129839"/>
        <c:crosses val="autoZero"/>
        <c:auto val="1"/>
        <c:lblAlgn val="ctr"/>
        <c:lblOffset val="100"/>
        <c:noMultiLvlLbl val="0"/>
      </c:catAx>
      <c:valAx>
        <c:axId val="132612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13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158750</xdr:rowOff>
    </xdr:from>
    <xdr:to>
      <xdr:col>2</xdr:col>
      <xdr:colOff>596900</xdr:colOff>
      <xdr:row>22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CDF82-47BC-7FF7-F8B0-586B1A74E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542925</xdr:colOff>
      <xdr:row>8</xdr:row>
      <xdr:rowOff>160161</xdr:rowOff>
    </xdr:from>
    <xdr:to>
      <xdr:col>6</xdr:col>
      <xdr:colOff>965200</xdr:colOff>
      <xdr:row>22</xdr:row>
      <xdr:rowOff>318911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04CC01-33F1-BAA6-1EBB-F5D44E2CB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12700</xdr:rowOff>
    </xdr:from>
    <xdr:to>
      <xdr:col>3</xdr:col>
      <xdr:colOff>203200</xdr:colOff>
      <xdr:row>46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BF093F-8C4B-291A-0E1D-5AF2EE964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3174</xdr:colOff>
      <xdr:row>37</xdr:row>
      <xdr:rowOff>6350</xdr:rowOff>
    </xdr:from>
    <xdr:to>
      <xdr:col>7</xdr:col>
      <xdr:colOff>253999</xdr:colOff>
      <xdr:row>51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9300C0-FFA2-BA4B-FE50-01936F6C8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63501</xdr:colOff>
      <xdr:row>4</xdr:row>
      <xdr:rowOff>177800</xdr:rowOff>
    </xdr:from>
    <xdr:to>
      <xdr:col>6</xdr:col>
      <xdr:colOff>501651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E5B55-0142-465F-8A3E-6E1D093E7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4</xdr:row>
      <xdr:rowOff>177800</xdr:rowOff>
    </xdr:from>
    <xdr:to>
      <xdr:col>13</xdr:col>
      <xdr:colOff>482600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DC346B-9C33-492B-845A-6AF6B7ADC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69851</xdr:colOff>
      <xdr:row>18</xdr:row>
      <xdr:rowOff>95250</xdr:rowOff>
    </xdr:from>
    <xdr:to>
      <xdr:col>6</xdr:col>
      <xdr:colOff>488950</xdr:colOff>
      <xdr:row>33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65DD68-D018-43AD-8DE4-4B2489C0E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584200</xdr:colOff>
      <xdr:row>18</xdr:row>
      <xdr:rowOff>107950</xdr:rowOff>
    </xdr:from>
    <xdr:to>
      <xdr:col>13</xdr:col>
      <xdr:colOff>482600</xdr:colOff>
      <xdr:row>33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E7F0EB-EF22-4A8C-9F17-1413BCA58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171450</xdr:colOff>
      <xdr:row>1</xdr:row>
      <xdr:rowOff>69850</xdr:rowOff>
    </xdr:from>
    <xdr:to>
      <xdr:col>13</xdr:col>
      <xdr:colOff>368300</xdr:colOff>
      <xdr:row>4</xdr:row>
      <xdr:rowOff>44450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9F3E9A7-47DF-7FD6-CB2E-077ABD57D873}"/>
            </a:ext>
          </a:extLst>
        </xdr:cNvPr>
        <xdr:cNvSpPr txBox="1"/>
      </xdr:nvSpPr>
      <xdr:spPr>
        <a:xfrm>
          <a:off x="171450" y="254000"/>
          <a:ext cx="8121650" cy="52705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bg1"/>
              </a:solidFill>
              <a:latin typeface="+mn-lt"/>
            </a:rPr>
            <a:t>Retail</a:t>
          </a:r>
          <a:r>
            <a:rPr lang="en-IN" sz="2000" b="1" baseline="0">
              <a:solidFill>
                <a:schemeClr val="bg1"/>
              </a:solidFill>
              <a:latin typeface="+mn-lt"/>
            </a:rPr>
            <a:t> Sales Performance Dashboard </a:t>
          </a:r>
          <a:endParaRPr lang="en-IN" sz="2000" b="1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9.888547569448" createdVersion="8" refreshedVersion="8" minRefreshableVersion="3" recordCount="682" xr:uid="{66F63D72-8097-4FC8-902B-9A6ACD2728E2}">
  <cacheSource type="worksheet">
    <worksheetSource ref="A1:K683" sheet="Online Retail"/>
  </cacheSource>
  <cacheFields count="11">
    <cacheField name="InvoiceNo" numFmtId="0">
      <sharedItems containsMixedTypes="1" containsNumber="1" containsInteger="1" minValue="536365" maxValue="536420"/>
    </cacheField>
    <cacheField name="Product Code " numFmtId="0">
      <sharedItems containsMixedTypes="1" containsNumber="1" containsInteger="1" minValue="10002" maxValue="85152"/>
    </cacheField>
    <cacheField name="Description" numFmtId="0">
      <sharedItems count="445">
        <s v="White Hanging Heart T-Light Holder"/>
        <s v="White Metal Lantern"/>
        <s v="Cream Cupid Hearts Coat Hanger"/>
        <s v="Knitted Union Flag Hot Water Bottle"/>
        <s v="Red Woolly Hottie White Heart."/>
        <s v="Set 7 Babushka Nesting Boxes"/>
        <s v="Glass Star Frosted T-Light Holder"/>
        <s v="Hand Warmer Union Jack"/>
        <s v="Hand Warmer Red Polka Dot"/>
        <s v="Assorted Colour Bird Ornament"/>
        <s v="Poppy'S Playhouse Bedroom "/>
        <s v="Poppy'S Playhouse Kitchen"/>
        <s v="Feltcraft Princess Charlotte Doll"/>
        <s v="Ivory Knitted Mug Cosy "/>
        <s v="Box Of 6 Assorted Colour Teaspoons"/>
        <s v="Box Of Vintage Jigsaw Blocks 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Alarm Clock Bakelike Pink"/>
        <s v="Alarm Clock Bakelike Red "/>
        <s v="Alarm Clock Bakelike Green"/>
        <s v="Panda And Bunnies Sticker Sheet"/>
        <s v="Stars Gift Tape "/>
        <s v="Inflatable Political Globe "/>
        <s v="Vintage Heads And Tails Card Game "/>
        <s v="Set/2 Red Retrospot Tea Towels "/>
        <s v="Round Snack Boxes Set Of4 Woodland "/>
        <s v="Spaceboy Lunch Box "/>
        <s v="Lunch Box I Love London"/>
        <s v="Circus Parade Lunch Box "/>
        <s v="Charlotte Bag Dolly Girl Design"/>
        <s v="Red Toadstool Led Night Light"/>
        <s v=" Set 2 Tea Towels I Love London "/>
        <s v="Vintage Seaside Jigsaw Puzzles"/>
        <s v="Mini Jigsaw Circus Parade "/>
        <s v="Mini Jigsaw Spaceboy"/>
        <s v="Mini Paint Set Vintage "/>
        <s v="Postage"/>
        <s v="Paper Chain Kit 50'S Christmas 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 "/>
        <s v="Victorian Sewing Box Large"/>
        <s v="Hot Water Bottle Tea And Sympathy"/>
        <s v="Red Hanging Heart T-Light Holder"/>
        <s v="Jumbo Bag Pink Polkadot"/>
        <s v="Jumbo  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 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 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 "/>
        <s v="Skull Shoulder Bag"/>
        <s v="You'Re Confusing Me Metal Sign "/>
        <s v="Cook With Wine Metal Sign "/>
        <s v="Gin + Tonic Diet Metal Sign"/>
        <s v="Yellow Breakfast Cup And Saucer"/>
        <s v="Pink Breakfast Cup And Saucer "/>
        <s v="Paper Chain Kit Retrospot"/>
        <s v="Small Heart Flowers Hook "/>
        <s v="Tea Time Des Tea Cosy"/>
        <s v="Felt Egg Cosy White Rabbit "/>
        <s v="Zinc Willie Winkie  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Glass Cloche Small"/>
        <s v="Gumball Monochrome Coat Rack"/>
        <s v="Doormat Fancy Font Home Sweet Home"/>
        <s v="Discount"/>
        <s v="Vintage Snakes &amp; Ladders"/>
        <s v="Chocolate Calculator"/>
        <s v="Recycling Bag Retrospot "/>
        <s v="Toy Tidy Pink Polkadot"/>
        <s v="Antique Glass Dressing Table Pot"/>
        <s v="Ivory Giant Garden Thermometer"/>
        <s v="3 Tier Cake Tin Green And Cream"/>
        <s v="3 Tier Cake Tin Red And Cream"/>
        <s v="Set 3 Wicker Oval Baskets W Lids"/>
        <s v="Set Of 3 Coloured  Flying Ducks"/>
        <s v="Wood Black Board Ant White Finish"/>
        <s v="Colour Glass T-Light Holder Hanging"/>
        <s v="Hanging Metal Heart Lantern"/>
        <s v="Hanging Medina Lantern Small"/>
        <s v="Natural Slate Heart Chalkboard 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 "/>
        <s v="Lunch Bag Dolly Girl Design"/>
        <s v="White Wire Egg Holder"/>
        <s v="Jumbo Bag Red Retrospot"/>
        <s v="Chilli Lights"/>
        <s v="Light Garland Butterfiles Pink"/>
        <s v="Wooden Owls Light Garland "/>
        <s v="Fairy Tale Cottage Nightlight"/>
        <s v="Home Small Wood Letters"/>
        <s v="Gingham Heart  Doorstop Red"/>
        <s v="Five Heart Hanging Decoration"/>
        <s v="Assorted Bottle Top  Magnets 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Vintage Union Jack Cushion Cover"/>
        <s v="Set Of 3 Gold Flying Ducks"/>
        <s v="Red Retrospot Umbrella"/>
        <s v="Black/Blue Polkadot Umbrella"/>
        <s v="Red Diner Wall Clock"/>
        <s v="Blue Diner Wall Clock"/>
        <s v="Ivory Diner Wall Clock"/>
        <s v="Large Heart Measuring Spoons"/>
        <s v="Small Heart Measuring Spoons"/>
        <s v="Jam Jar With Pink Lid"/>
        <s v="Jam Jar With Green Lid"/>
        <s v="Rose Cottage Keepsake Box "/>
        <s v="Hanging Heart Zinc T-Light Holder"/>
        <s v="Paper Chain Kit Vintage Christmas"/>
        <s v="Disco Ball Christmas Decoration"/>
        <s v="Small Popcorn Holder"/>
        <s v="Large Popcorn Holder "/>
        <s v="Set/20 Red Retrospot Paper Napkins "/>
        <s v="Set/6 Red Spotty Paper Cups"/>
        <s v="Polkadot Rain Hat "/>
        <s v="Deluxe Sewing Kit "/>
        <s v="Retrospot Heart Hot Water Bottle"/>
        <s v="English Rose Hot Water Bottle"/>
        <s v="Photo Cube"/>
        <s v="Plasters In Tin Circus Parade "/>
        <s v="Pack Of 12 Pink Paisley Tissues "/>
        <s v="Pack Of 12 Blue Paisley Tissues "/>
        <s v="Pack Of 12 Red Retrospot Tissues "/>
        <s v="Chick Grey Hot Water Bottle"/>
        <s v="Plasters In Tin Vintage Paisley "/>
        <s v="Plasters In Tin Skulls"/>
        <s v="3 Stripey Mice Feltcraft"/>
        <s v="Set Of 6 Soldier Skittles"/>
        <s v="Traditional Wooden Skipping Rope"/>
        <s v="Wooden Box Of Dominoes"/>
        <s v="Rustic  Seventeen Drawer Sideboard"/>
        <s v="Party Cones Carnival Assorted"/>
        <s v="Party Cones Candy Assorted"/>
        <s v="Picnic Basket Wicker Small"/>
        <s v="Star Decoration Painted Zinc "/>
        <s v="Retrospot Lamp"/>
        <s v="Fancy Font Birthday Card, "/>
        <s v="Hand Warmer Scotty Dog Design"/>
        <s v="Hand Warmer Owl Design"/>
        <s v="Hand Warmer Red Retrospot"/>
        <s v="Dog Bowl Chasing Ball Design"/>
        <s v="Clothes Pegs Retrospot Pack 24 "/>
        <s v="Hand Over The Chocolate   Sign "/>
        <s v="Travel Sewing Kit"/>
        <s v="Black Heart Card Holder"/>
        <s v="Small Glass Heart Trinket Pot"/>
        <s v="Alarm Clock Bakelike Ivory"/>
        <s v="Alarm Clock Bakelike Orange"/>
        <s v="Hand Warmer Bird Design"/>
        <s v="Ivory Embroidered Quilt "/>
        <s v="Set Of 3 Black Flying Ducks"/>
        <s v="Red Retrospot Mug"/>
        <s v="Babushka Lights String Of 10"/>
        <s v="Doormat Fairy Cake"/>
        <s v="Strawberry Ceramic Trinket Box"/>
        <s v="Pink Doughnut Trinket Pot "/>
        <s v="Silk Purse Babushka Pink"/>
        <s v="Hot Water Bottle I Am So Poorly"/>
        <s v="Chocolate Hot Water Bottle"/>
        <s v="White Skull Hot Water Bottle 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 Writing Set "/>
        <s v="Lavender Incense In Tin"/>
        <s v="Tv Dinner Tray Vintage Paisley"/>
        <s v="Set Of 4 English Rose Placemats"/>
        <s v="Set Of 4 English Rose Coasters"/>
        <s v="Triple Photo Frame Cornice "/>
        <s v="Family Photo Frame Cornice"/>
        <s v="Mirrored Disco Ball "/>
        <s v="Disco Ball Rotator Battery Operated"/>
        <s v="Silver Looking Mirror"/>
        <s v="Ladies &amp; Gentlemen Metal Sign"/>
        <s v="Metal Sign Her Dinner Is Served "/>
        <s v="Doormat Topiary"/>
        <s v="Bathroom Metal Sign"/>
        <s v="Kitchen Metal Sign"/>
        <s v="Toilet Metal Sign"/>
        <s v="Metal Sign Take It Or Leave It "/>
        <s v="I'M On Holiday Metal Sign"/>
        <s v="Grow Your Own Basil In Enamel Mug"/>
        <s v="Set/10 Pink Polkadot Party Candles"/>
        <s v="Set 20 Napkins Fairy Cakes Design "/>
        <s v="Set Of 6 T-Lights Snowmen"/>
        <s v="Set Of 6 T-Lights Santa"/>
        <s v="Set Of 9 Heart Shaped Balloons"/>
        <s v="Sandwich Bath Sponge"/>
        <s v="Apple Bath Sponge"/>
        <s v="Strawberry Bath Sponge "/>
        <s v="Black Pirate Treasure Chest"/>
        <s v="Star Portable Table Light "/>
        <s v="Snowflake Portable Table Light "/>
        <s v="Pink Oval Jewelled Mirror"/>
        <s v="Retrospot Cigar Box Matches "/>
        <s v="Cosy Hour Giant Tube Matches"/>
        <s v="Jazz Hearts Purse Notebook"/>
        <s v="Candleholder Pink Hanging Heart"/>
        <s v="Assorted Colour Mini Cases"/>
        <s v="Lunch Bag Spaceboy Design 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 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 "/>
        <s v="Bright Blues Ribbons "/>
        <s v="Chocolate Box Ribbons 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 Design "/>
        <s v="Lunch Bag Cars Blue"/>
        <s v="Lunch Bag  Black Skull."/>
        <s v="Heart Ivory Trellis Large"/>
        <s v="Set/5 Red Retrospot Lid Glass Bowls"/>
        <s v="Magic Drawing Slate Dinosaur"/>
        <s v="Magic Drawing Slate Bake A Cake "/>
        <s v="12 Pencils Tall Tube Skulls"/>
        <s v="Red  Harmonica In Box "/>
        <s v="Blue Harmonica In Box "/>
        <s v="Skulls  Water Transfer Tattoos "/>
        <s v="Pack 3 Boxes Bird Pannetone 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 "/>
        <s v="Pens Assorted Funny Face"/>
        <s v="Card Circus Parade"/>
        <s v="Wrap Cowboys  "/>
        <s v="Airline Bag Vintage Tokyo 78"/>
        <s v="Set Of 72 Retrospot Paper  Doilies"/>
        <s v="Sleeping Cat Erasers"/>
        <s v="Card Birthday Cowboy"/>
        <s v="Pack 3 Boxes Christmas Pannetone"/>
        <s v="Rotating Silver Angels T-Light Hldr"/>
        <s v="Ribbon Reel Making Snowmen 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 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  "/>
        <s v="Christmas Hanging Heart With Bell"/>
        <s v="Cake Stand Victorian Filigree Med"/>
        <s v="Paisley Pattern  Stickers"/>
        <s v="Flowers  Stickers"/>
        <s v="Black Love Bird Candle"/>
        <s v="Party Time Pencil Erasers"/>
        <s v="Pink B'Fly C/Cover W Bobbles"/>
        <s v="Pink Union Jack  Luggage Tag"/>
        <s v="6 Ribbons Elegant Christmas "/>
        <s v="Aged Glass Silver T-Light Holder"/>
        <s v="Boom Box Speaker Girls"/>
        <s v="6 Ribbons Shimmering Pinks 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 4 Fruits "/>
        <s v="Round Snack Boxes Set Of 4 Skulls"/>
        <s v="Dolly Girl Lunch Box"/>
        <s v="Green Polkadot Plate "/>
        <s v="Blue Polkadot Plate "/>
        <s v="Red Retrospot Plate "/>
        <s v="Pink  Polkadot Plate "/>
        <s v="Feltcraft Doll Molly"/>
        <s v="Feltcraft Christmas Fairy"/>
        <s v="Set Of 3 Notebooks In Parcel"/>
        <s v="Red Retrospot Tape"/>
        <s v="Cosy Slipper Shoes Small  Red 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 "/>
        <s v="Red Retrospot Mini Cases"/>
        <s v="60 Cake Cases Vintage Christmas"/>
        <s v="Ribbon Reel Christmas Sock Bauble"/>
        <s v="Ribbon Reel Snowy Village"/>
        <s v="Set Of 20 Vintage Christmas Napkins"/>
        <s v="Turquoise Christmas Tree "/>
        <s v="Red Star Card Holder"/>
        <s v="Wicker Wreath Small"/>
        <s v="Advent Calendar Gingham Sack"/>
        <s v="Feltcraft Butterfly Hearts"/>
        <s v="Party Cone Christmas Decoration "/>
        <s v="Wicker Star 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 "/>
        <s v="Purple Drawerknob Acrylic Edwardian"/>
        <s v="Children'S Apron Dolly Girl "/>
        <s v="Childrens Apron Spaceboy Design"/>
        <s v="Christmas Lights 10 Santas 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 "/>
        <s v="Tv Dinner Tray Dolly Girl"/>
        <s v="Plasters In Tin Spaceboy"/>
        <s v="Plasters In Tin Woodland Animals"/>
        <s v="Magic Drawing Slate Spaceboy "/>
        <s v="Magic Drawing Slate Go To The Fair "/>
        <s v="Magic Drawing Slate Dolly Girl "/>
        <s v="Charlie + Lola Red Hot Water Bottle"/>
        <s v="Urban Black Ribbons "/>
        <s v="Set Of 6 T-Lights Toadstools"/>
        <s v="Rotating Leaves T-Light Holder"/>
        <s v="Cupcake Lace Paper Set 6"/>
        <s v="Traditional Wooden Catch Cup Game "/>
        <s v="S/6 Wooden Skittles In Cotton Bag"/>
        <s v="Red Metal Beach Spade "/>
        <s v="Boys Vintage Tin Seaside Bucket"/>
        <s v="Girls Vintage Tin Seaside Bucket"/>
        <s v="Grey Heart Hot Water Bottle"/>
        <s v="Kings Choice Tea Caddy "/>
        <s v="Kings Choice Biscuit Tin"/>
      </sharedItems>
    </cacheField>
    <cacheField name="Units Sold " numFmtId="1">
      <sharedItems containsSemiMixedTypes="0" containsString="0" containsNumber="1" containsInteger="1" minValue="-24" maxValue="432"/>
    </cacheField>
    <cacheField name="Date of Transaction" numFmtId="14">
      <sharedItems containsSemiMixedTypes="0" containsNonDate="0" containsDate="1" containsString="0" minDate="2010-12-01T00:00:00" maxDate="2010-12-02T00:00:00" count="44">
        <d v="2010-12-01T00:00:00"/>
        <d v="2010-12-01T08:26:00"/>
        <d v="2010-12-01T08:28:00"/>
        <d v="2010-12-01T08:34:00"/>
        <d v="2010-12-01T08:35:00"/>
        <d v="2010-12-01T08:45:00"/>
        <d v="2010-12-01T09:00:00"/>
        <d v="2010-12-01T09:01:00"/>
        <d v="2010-12-01T09:02:00"/>
        <d v="2010-12-01T09:09:00"/>
        <d v="2010-12-01T09:32:00"/>
        <d v="2010-12-01T09:34:00"/>
        <d v="2010-12-01T09:37:00"/>
        <d v="2010-12-01T09:41:00"/>
        <d v="2010-12-01T09:45:00"/>
        <d v="2010-12-01T09:49:00"/>
        <d v="2010-12-01T09:53:00"/>
        <d v="2010-12-01T09:56:00"/>
        <d v="2010-12-01T09:57:00"/>
        <d v="2010-12-01T09:58:00"/>
        <d v="2010-12-01T09:59:00"/>
        <d v="2010-12-01T10:03:00"/>
        <d v="2010-12-01T10:19:00"/>
        <d v="2010-12-01T10:24:00"/>
        <d v="2010-12-01T10:29:00"/>
        <d v="2010-12-01T10:37:00"/>
        <d v="2010-12-01T10:39:00"/>
        <d v="2010-12-01T10:47:00"/>
        <d v="2010-12-01T10:51:00"/>
        <d v="2010-12-01T10:52:00"/>
        <d v="2010-12-01T10:53:00"/>
        <d v="2010-12-01T11:21:00"/>
        <d v="2010-12-01T11:22:00"/>
        <d v="2010-12-01T11:27:00"/>
        <d v="2010-12-01T11:29:00"/>
        <d v="2010-12-01T11:32:00"/>
        <d v="2010-12-01T11:33:00"/>
        <d v="2010-12-01T11:34:00"/>
        <d v="2010-12-01T11:41:00"/>
        <d v="2010-12-01T11:45:00"/>
        <d v="2010-12-01T11:49:00"/>
        <d v="2010-12-01T11:57:00"/>
        <d v="2010-12-01T11:58:00"/>
        <d v="2010-12-01T12:03:00"/>
      </sharedItems>
    </cacheField>
    <cacheField name="Time of Transaction" numFmtId="20">
      <sharedItems containsSemiMixedTypes="0" containsNonDate="0" containsDate="1" containsString="0" minDate="1899-12-30T08:26:00" maxDate="1899-12-30T12:03:00"/>
    </cacheField>
    <cacheField name="UnitPrice" numFmtId="164">
      <sharedItems containsSemiMixedTypes="0" containsString="0" containsNumber="1" minValue="0.1" maxValue="165"/>
    </cacheField>
    <cacheField name="CustomerID" numFmtId="0">
      <sharedItems containsSemiMixedTypes="0" containsString="0" containsNumber="1" containsInteger="1" minValue="12431" maxValue="18074"/>
    </cacheField>
    <cacheField name="Sales Region" numFmtId="0">
      <sharedItems count="4">
        <s v="United Kingdom"/>
        <s v="France"/>
        <s v="Australia"/>
        <s v="Netherlands"/>
      </sharedItems>
    </cacheField>
    <cacheField name="Transaction Type" numFmtId="0">
      <sharedItems count="2">
        <s v="Sale"/>
        <s v="Return"/>
      </sharedItems>
    </cacheField>
    <cacheField name="Total transaction value" numFmtId="164">
      <sharedItems containsSemiMixedTypes="0" containsString="0" containsNumber="1" minValue="-41.400000000000006" maxValue="733.439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">
  <r>
    <n v="536365"/>
    <s v="85123A"/>
    <x v="0"/>
    <n v="6"/>
    <x v="0"/>
    <d v="1899-12-30T08:26:00"/>
    <n v="2.5499999999999998"/>
    <n v="17850"/>
    <x v="0"/>
    <x v="0"/>
    <n v="15.299999999999999"/>
  </r>
  <r>
    <n v="536365"/>
    <n v="71053"/>
    <x v="1"/>
    <n v="6"/>
    <x v="0"/>
    <d v="1899-12-30T08:26:00"/>
    <n v="3.39"/>
    <n v="17850"/>
    <x v="0"/>
    <x v="0"/>
    <n v="20.34"/>
  </r>
  <r>
    <n v="536365"/>
    <s v="84406B"/>
    <x v="2"/>
    <n v="8"/>
    <x v="1"/>
    <d v="1899-12-30T08:26:00"/>
    <n v="2.75"/>
    <n v="17850"/>
    <x v="0"/>
    <x v="0"/>
    <n v="22"/>
  </r>
  <r>
    <n v="536365"/>
    <s v="84029G"/>
    <x v="3"/>
    <n v="6"/>
    <x v="1"/>
    <d v="1899-12-30T08:26:00"/>
    <n v="3.39"/>
    <n v="17850"/>
    <x v="0"/>
    <x v="0"/>
    <n v="20.34"/>
  </r>
  <r>
    <n v="536365"/>
    <s v="84029E"/>
    <x v="4"/>
    <n v="6"/>
    <x v="1"/>
    <d v="1899-12-30T08:26:00"/>
    <n v="3.39"/>
    <n v="17850"/>
    <x v="0"/>
    <x v="0"/>
    <n v="20.34"/>
  </r>
  <r>
    <n v="536365"/>
    <n v="22752"/>
    <x v="5"/>
    <n v="2"/>
    <x v="1"/>
    <d v="1899-12-30T08:26:00"/>
    <n v="7.65"/>
    <n v="17850"/>
    <x v="0"/>
    <x v="0"/>
    <n v="15.3"/>
  </r>
  <r>
    <n v="536365"/>
    <n v="21730"/>
    <x v="6"/>
    <n v="6"/>
    <x v="1"/>
    <d v="1899-12-30T08:26:00"/>
    <n v="4.25"/>
    <n v="17850"/>
    <x v="0"/>
    <x v="0"/>
    <n v="25.5"/>
  </r>
  <r>
    <n v="536366"/>
    <n v="22633"/>
    <x v="7"/>
    <n v="6"/>
    <x v="2"/>
    <d v="1899-12-30T08:28:00"/>
    <n v="1.85"/>
    <n v="17850"/>
    <x v="0"/>
    <x v="0"/>
    <n v="11.100000000000001"/>
  </r>
  <r>
    <n v="536366"/>
    <n v="22632"/>
    <x v="8"/>
    <n v="6"/>
    <x v="2"/>
    <d v="1899-12-30T08:28:00"/>
    <n v="1.85"/>
    <n v="17850"/>
    <x v="0"/>
    <x v="0"/>
    <n v="11.100000000000001"/>
  </r>
  <r>
    <n v="536367"/>
    <n v="84879"/>
    <x v="9"/>
    <n v="32"/>
    <x v="3"/>
    <d v="1899-12-30T08:34:00"/>
    <n v="1.69"/>
    <n v="13047"/>
    <x v="0"/>
    <x v="0"/>
    <n v="54.08"/>
  </r>
  <r>
    <n v="536367"/>
    <n v="22745"/>
    <x v="10"/>
    <n v="6"/>
    <x v="3"/>
    <d v="1899-12-30T08:34:00"/>
    <n v="2.1"/>
    <n v="13047"/>
    <x v="0"/>
    <x v="0"/>
    <n v="12.600000000000001"/>
  </r>
  <r>
    <n v="536367"/>
    <n v="22748"/>
    <x v="11"/>
    <n v="6"/>
    <x v="3"/>
    <d v="1899-12-30T08:34:00"/>
    <n v="2.1"/>
    <n v="13047"/>
    <x v="0"/>
    <x v="0"/>
    <n v="12.600000000000001"/>
  </r>
  <r>
    <n v="536367"/>
    <n v="22749"/>
    <x v="12"/>
    <n v="8"/>
    <x v="3"/>
    <d v="1899-12-30T08:34:00"/>
    <n v="3.75"/>
    <n v="13047"/>
    <x v="0"/>
    <x v="0"/>
    <n v="30"/>
  </r>
  <r>
    <n v="536367"/>
    <n v="22310"/>
    <x v="13"/>
    <n v="6"/>
    <x v="3"/>
    <d v="1899-12-30T08:34:00"/>
    <n v="1.65"/>
    <n v="13047"/>
    <x v="0"/>
    <x v="0"/>
    <n v="9.8999999999999986"/>
  </r>
  <r>
    <n v="536367"/>
    <n v="84969"/>
    <x v="14"/>
    <n v="6"/>
    <x v="3"/>
    <d v="1899-12-30T08:34:00"/>
    <n v="4.25"/>
    <n v="13047"/>
    <x v="0"/>
    <x v="0"/>
    <n v="25.5"/>
  </r>
  <r>
    <n v="536367"/>
    <n v="22623"/>
    <x v="15"/>
    <n v="3"/>
    <x v="3"/>
    <d v="1899-12-30T08:34:00"/>
    <n v="4.95"/>
    <n v="13047"/>
    <x v="0"/>
    <x v="0"/>
    <n v="14.850000000000001"/>
  </r>
  <r>
    <n v="536367"/>
    <n v="22622"/>
    <x v="16"/>
    <n v="2"/>
    <x v="3"/>
    <d v="1899-12-30T08:34:00"/>
    <n v="9.9499999999999993"/>
    <n v="13047"/>
    <x v="0"/>
    <x v="0"/>
    <n v="19.899999999999999"/>
  </r>
  <r>
    <n v="536367"/>
    <n v="21754"/>
    <x v="17"/>
    <n v="3"/>
    <x v="3"/>
    <d v="1899-12-30T08:34:00"/>
    <n v="5.95"/>
    <n v="13047"/>
    <x v="0"/>
    <x v="0"/>
    <n v="17.850000000000001"/>
  </r>
  <r>
    <n v="536367"/>
    <n v="21755"/>
    <x v="18"/>
    <n v="3"/>
    <x v="3"/>
    <d v="1899-12-30T08:34:00"/>
    <n v="5.95"/>
    <n v="13047"/>
    <x v="0"/>
    <x v="0"/>
    <n v="17.850000000000001"/>
  </r>
  <r>
    <n v="536367"/>
    <n v="21777"/>
    <x v="19"/>
    <n v="4"/>
    <x v="3"/>
    <d v="1899-12-30T08:34:00"/>
    <n v="7.95"/>
    <n v="13047"/>
    <x v="0"/>
    <x v="0"/>
    <n v="31.8"/>
  </r>
  <r>
    <n v="536367"/>
    <n v="48187"/>
    <x v="20"/>
    <n v="4"/>
    <x v="3"/>
    <d v="1899-12-30T08:34:00"/>
    <n v="7.95"/>
    <n v="13047"/>
    <x v="0"/>
    <x v="0"/>
    <n v="31.8"/>
  </r>
  <r>
    <n v="536368"/>
    <n v="22960"/>
    <x v="21"/>
    <n v="6"/>
    <x v="3"/>
    <d v="1899-12-30T08:34:00"/>
    <n v="4.25"/>
    <n v="13047"/>
    <x v="0"/>
    <x v="0"/>
    <n v="25.5"/>
  </r>
  <r>
    <n v="536368"/>
    <n v="22913"/>
    <x v="22"/>
    <n v="3"/>
    <x v="3"/>
    <d v="1899-12-30T08:34:00"/>
    <n v="4.95"/>
    <n v="13047"/>
    <x v="0"/>
    <x v="0"/>
    <n v="14.850000000000001"/>
  </r>
  <r>
    <n v="536368"/>
    <n v="22912"/>
    <x v="23"/>
    <n v="3"/>
    <x v="3"/>
    <d v="1899-12-30T08:34:00"/>
    <n v="4.95"/>
    <n v="13047"/>
    <x v="0"/>
    <x v="0"/>
    <n v="14.850000000000001"/>
  </r>
  <r>
    <n v="536368"/>
    <n v="22914"/>
    <x v="24"/>
    <n v="3"/>
    <x v="3"/>
    <d v="1899-12-30T08:34:00"/>
    <n v="4.95"/>
    <n v="13047"/>
    <x v="0"/>
    <x v="0"/>
    <n v="14.850000000000001"/>
  </r>
  <r>
    <n v="536369"/>
    <n v="21756"/>
    <x v="25"/>
    <n v="3"/>
    <x v="4"/>
    <d v="1899-12-30T08:35:00"/>
    <n v="5.95"/>
    <n v="13047"/>
    <x v="0"/>
    <x v="0"/>
    <n v="17.850000000000001"/>
  </r>
  <r>
    <n v="536370"/>
    <n v="22728"/>
    <x v="26"/>
    <n v="24"/>
    <x v="5"/>
    <d v="1899-12-30T08:45:00"/>
    <n v="3.75"/>
    <n v="12583"/>
    <x v="1"/>
    <x v="0"/>
    <n v="90"/>
  </r>
  <r>
    <n v="536370"/>
    <n v="22727"/>
    <x v="27"/>
    <n v="24"/>
    <x v="5"/>
    <d v="1899-12-30T08:45:00"/>
    <n v="3.75"/>
    <n v="12583"/>
    <x v="1"/>
    <x v="0"/>
    <n v="90"/>
  </r>
  <r>
    <n v="536370"/>
    <n v="22726"/>
    <x v="28"/>
    <n v="12"/>
    <x v="5"/>
    <d v="1899-12-30T08:45:00"/>
    <n v="3.75"/>
    <n v="12583"/>
    <x v="1"/>
    <x v="0"/>
    <n v="45"/>
  </r>
  <r>
    <n v="536370"/>
    <n v="21724"/>
    <x v="29"/>
    <n v="12"/>
    <x v="5"/>
    <d v="1899-12-30T08:45:00"/>
    <n v="0.85"/>
    <n v="12583"/>
    <x v="1"/>
    <x v="0"/>
    <n v="10.199999999999999"/>
  </r>
  <r>
    <n v="536370"/>
    <n v="21883"/>
    <x v="30"/>
    <n v="24"/>
    <x v="5"/>
    <d v="1899-12-30T08:45:00"/>
    <n v="0.65"/>
    <n v="12583"/>
    <x v="1"/>
    <x v="0"/>
    <n v="15.600000000000001"/>
  </r>
  <r>
    <n v="536370"/>
    <n v="10002"/>
    <x v="31"/>
    <n v="48"/>
    <x v="5"/>
    <d v="1899-12-30T08:45:00"/>
    <n v="0.85"/>
    <n v="12583"/>
    <x v="1"/>
    <x v="0"/>
    <n v="40.799999999999997"/>
  </r>
  <r>
    <n v="536370"/>
    <n v="21791"/>
    <x v="32"/>
    <n v="24"/>
    <x v="5"/>
    <d v="1899-12-30T08:45:00"/>
    <n v="1.25"/>
    <n v="12583"/>
    <x v="1"/>
    <x v="0"/>
    <n v="30"/>
  </r>
  <r>
    <n v="536370"/>
    <n v="21035"/>
    <x v="33"/>
    <n v="18"/>
    <x v="5"/>
    <d v="1899-12-30T08:45:00"/>
    <n v="2.95"/>
    <n v="12583"/>
    <x v="1"/>
    <x v="0"/>
    <n v="53.1"/>
  </r>
  <r>
    <n v="536370"/>
    <n v="22326"/>
    <x v="34"/>
    <n v="24"/>
    <x v="5"/>
    <d v="1899-12-30T08:45:00"/>
    <n v="2.95"/>
    <n v="12583"/>
    <x v="1"/>
    <x v="0"/>
    <n v="70.800000000000011"/>
  </r>
  <r>
    <n v="536370"/>
    <n v="22629"/>
    <x v="35"/>
    <n v="24"/>
    <x v="5"/>
    <d v="1899-12-30T08:45:00"/>
    <n v="1.95"/>
    <n v="12583"/>
    <x v="1"/>
    <x v="0"/>
    <n v="46.8"/>
  </r>
  <r>
    <n v="536370"/>
    <n v="22659"/>
    <x v="36"/>
    <n v="24"/>
    <x v="5"/>
    <d v="1899-12-30T08:45:00"/>
    <n v="1.95"/>
    <n v="12583"/>
    <x v="1"/>
    <x v="0"/>
    <n v="46.8"/>
  </r>
  <r>
    <n v="536370"/>
    <n v="22631"/>
    <x v="37"/>
    <n v="24"/>
    <x v="5"/>
    <d v="1899-12-30T08:45:00"/>
    <n v="1.95"/>
    <n v="12583"/>
    <x v="1"/>
    <x v="0"/>
    <n v="46.8"/>
  </r>
  <r>
    <n v="536370"/>
    <n v="22661"/>
    <x v="38"/>
    <n v="20"/>
    <x v="5"/>
    <d v="1899-12-30T08:45:00"/>
    <n v="0.85"/>
    <n v="12583"/>
    <x v="1"/>
    <x v="0"/>
    <n v="17"/>
  </r>
  <r>
    <n v="536370"/>
    <n v="21731"/>
    <x v="39"/>
    <n v="24"/>
    <x v="5"/>
    <d v="1899-12-30T08:45:00"/>
    <n v="1.65"/>
    <n v="12583"/>
    <x v="1"/>
    <x v="0"/>
    <n v="39.599999999999994"/>
  </r>
  <r>
    <n v="536370"/>
    <n v="22900"/>
    <x v="40"/>
    <n v="24"/>
    <x v="5"/>
    <d v="1899-12-30T08:45:00"/>
    <n v="2.95"/>
    <n v="12583"/>
    <x v="1"/>
    <x v="0"/>
    <n v="70.800000000000011"/>
  </r>
  <r>
    <n v="536370"/>
    <n v="21913"/>
    <x v="41"/>
    <n v="12"/>
    <x v="5"/>
    <d v="1899-12-30T08:45:00"/>
    <n v="3.75"/>
    <n v="12583"/>
    <x v="1"/>
    <x v="0"/>
    <n v="45"/>
  </r>
  <r>
    <n v="536370"/>
    <n v="22540"/>
    <x v="42"/>
    <n v="24"/>
    <x v="5"/>
    <d v="1899-12-30T08:45:00"/>
    <n v="0.42"/>
    <n v="12583"/>
    <x v="1"/>
    <x v="0"/>
    <n v="10.08"/>
  </r>
  <r>
    <n v="536370"/>
    <n v="22544"/>
    <x v="43"/>
    <n v="24"/>
    <x v="5"/>
    <d v="1899-12-30T08:45:00"/>
    <n v="0.42"/>
    <n v="12583"/>
    <x v="1"/>
    <x v="0"/>
    <n v="10.08"/>
  </r>
  <r>
    <n v="536370"/>
    <n v="22492"/>
    <x v="44"/>
    <n v="36"/>
    <x v="5"/>
    <d v="1899-12-30T08:45:00"/>
    <n v="0.65"/>
    <n v="12583"/>
    <x v="1"/>
    <x v="0"/>
    <n v="23.400000000000002"/>
  </r>
  <r>
    <n v="536370"/>
    <s v="POST"/>
    <x v="45"/>
    <n v="3"/>
    <x v="5"/>
    <d v="1899-12-30T08:45:00"/>
    <n v="18"/>
    <n v="12583"/>
    <x v="1"/>
    <x v="0"/>
    <n v="54"/>
  </r>
  <r>
    <n v="536371"/>
    <n v="22086"/>
    <x v="46"/>
    <n v="80"/>
    <x v="6"/>
    <d v="1899-12-30T09:00:00"/>
    <n v="2.5499999999999998"/>
    <n v="13748"/>
    <x v="0"/>
    <x v="0"/>
    <n v="204"/>
  </r>
  <r>
    <n v="536372"/>
    <n v="22632"/>
    <x v="8"/>
    <n v="6"/>
    <x v="7"/>
    <d v="1899-12-30T09:01:00"/>
    <n v="1.85"/>
    <n v="17850"/>
    <x v="0"/>
    <x v="0"/>
    <n v="11.100000000000001"/>
  </r>
  <r>
    <n v="536372"/>
    <n v="22633"/>
    <x v="7"/>
    <n v="6"/>
    <x v="7"/>
    <d v="1899-12-30T09:01:00"/>
    <n v="1.85"/>
    <n v="17850"/>
    <x v="0"/>
    <x v="0"/>
    <n v="11.100000000000001"/>
  </r>
  <r>
    <n v="536373"/>
    <s v="85123A"/>
    <x v="0"/>
    <n v="6"/>
    <x v="8"/>
    <d v="1899-12-30T09:02:00"/>
    <n v="2.5499999999999998"/>
    <n v="17850"/>
    <x v="0"/>
    <x v="0"/>
    <n v="15.299999999999999"/>
  </r>
  <r>
    <n v="536373"/>
    <n v="71053"/>
    <x v="1"/>
    <n v="6"/>
    <x v="8"/>
    <d v="1899-12-30T09:02:00"/>
    <n v="3.39"/>
    <n v="17850"/>
    <x v="0"/>
    <x v="0"/>
    <n v="20.34"/>
  </r>
  <r>
    <n v="536373"/>
    <s v="84406B"/>
    <x v="2"/>
    <n v="8"/>
    <x v="8"/>
    <d v="1899-12-30T09:02:00"/>
    <n v="2.75"/>
    <n v="17850"/>
    <x v="0"/>
    <x v="0"/>
    <n v="22"/>
  </r>
  <r>
    <n v="536373"/>
    <n v="20679"/>
    <x v="47"/>
    <n v="6"/>
    <x v="8"/>
    <d v="1899-12-30T09:02:00"/>
    <n v="4.95"/>
    <n v="17850"/>
    <x v="0"/>
    <x v="0"/>
    <n v="29.700000000000003"/>
  </r>
  <r>
    <n v="536373"/>
    <n v="37370"/>
    <x v="48"/>
    <n v="6"/>
    <x v="8"/>
    <d v="1899-12-30T09:02:00"/>
    <n v="1.06"/>
    <n v="17850"/>
    <x v="0"/>
    <x v="0"/>
    <n v="6.36"/>
  </r>
  <r>
    <n v="536373"/>
    <n v="21871"/>
    <x v="49"/>
    <n v="6"/>
    <x v="8"/>
    <d v="1899-12-30T09:02:00"/>
    <n v="1.06"/>
    <n v="17850"/>
    <x v="0"/>
    <x v="0"/>
    <n v="6.36"/>
  </r>
  <r>
    <n v="536373"/>
    <n v="21071"/>
    <x v="50"/>
    <n v="6"/>
    <x v="8"/>
    <d v="1899-12-30T09:02:00"/>
    <n v="1.06"/>
    <n v="17850"/>
    <x v="0"/>
    <x v="0"/>
    <n v="6.36"/>
  </r>
  <r>
    <n v="536373"/>
    <n v="21068"/>
    <x v="51"/>
    <n v="6"/>
    <x v="8"/>
    <d v="1899-12-30T09:02:00"/>
    <n v="1.06"/>
    <n v="17850"/>
    <x v="0"/>
    <x v="0"/>
    <n v="6.36"/>
  </r>
  <r>
    <n v="536373"/>
    <n v="82483"/>
    <x v="52"/>
    <n v="2"/>
    <x v="8"/>
    <d v="1899-12-30T09:02:00"/>
    <n v="4.95"/>
    <n v="17850"/>
    <x v="0"/>
    <x v="0"/>
    <n v="9.9"/>
  </r>
  <r>
    <n v="536373"/>
    <n v="82486"/>
    <x v="53"/>
    <n v="4"/>
    <x v="8"/>
    <d v="1899-12-30T09:02:00"/>
    <n v="6.95"/>
    <n v="17850"/>
    <x v="0"/>
    <x v="0"/>
    <n v="27.8"/>
  </r>
  <r>
    <n v="536373"/>
    <n v="82482"/>
    <x v="54"/>
    <n v="6"/>
    <x v="8"/>
    <d v="1899-12-30T09:02:00"/>
    <n v="2.1"/>
    <n v="17850"/>
    <x v="0"/>
    <x v="0"/>
    <n v="12.600000000000001"/>
  </r>
  <r>
    <n v="536373"/>
    <s v="82494L"/>
    <x v="55"/>
    <n v="6"/>
    <x v="8"/>
    <d v="1899-12-30T09:02:00"/>
    <n v="2.5499999999999998"/>
    <n v="17850"/>
    <x v="0"/>
    <x v="0"/>
    <n v="15.299999999999999"/>
  </r>
  <r>
    <n v="536373"/>
    <s v="84029G"/>
    <x v="3"/>
    <n v="6"/>
    <x v="8"/>
    <d v="1899-12-30T09:02:00"/>
    <n v="3.39"/>
    <n v="17850"/>
    <x v="0"/>
    <x v="0"/>
    <n v="20.34"/>
  </r>
  <r>
    <n v="536373"/>
    <s v="84029E"/>
    <x v="4"/>
    <n v="6"/>
    <x v="8"/>
    <d v="1899-12-30T09:02:00"/>
    <n v="3.39"/>
    <n v="17850"/>
    <x v="0"/>
    <x v="0"/>
    <n v="20.34"/>
  </r>
  <r>
    <n v="536373"/>
    <n v="22752"/>
    <x v="5"/>
    <n v="2"/>
    <x v="8"/>
    <d v="1899-12-30T09:02:00"/>
    <n v="7.65"/>
    <n v="17850"/>
    <x v="0"/>
    <x v="0"/>
    <n v="15.3"/>
  </r>
  <r>
    <n v="536373"/>
    <n v="21730"/>
    <x v="6"/>
    <n v="6"/>
    <x v="8"/>
    <d v="1899-12-30T09:02:00"/>
    <n v="4.25"/>
    <n v="17850"/>
    <x v="0"/>
    <x v="0"/>
    <n v="25.5"/>
  </r>
  <r>
    <n v="536374"/>
    <n v="21258"/>
    <x v="56"/>
    <n v="32"/>
    <x v="9"/>
    <d v="1899-12-30T09:09:00"/>
    <n v="10.95"/>
    <n v="15100"/>
    <x v="0"/>
    <x v="0"/>
    <n v="350.4"/>
  </r>
  <r>
    <n v="536375"/>
    <s v="85123A"/>
    <x v="0"/>
    <n v="6"/>
    <x v="10"/>
    <d v="1899-12-30T09:32:00"/>
    <n v="2.5499999999999998"/>
    <n v="17850"/>
    <x v="0"/>
    <x v="0"/>
    <n v="15.299999999999999"/>
  </r>
  <r>
    <n v="536375"/>
    <n v="71053"/>
    <x v="1"/>
    <n v="6"/>
    <x v="10"/>
    <d v="1899-12-30T09:32:00"/>
    <n v="3.39"/>
    <n v="17850"/>
    <x v="0"/>
    <x v="0"/>
    <n v="20.34"/>
  </r>
  <r>
    <n v="536375"/>
    <s v="84406B"/>
    <x v="2"/>
    <n v="8"/>
    <x v="10"/>
    <d v="1899-12-30T09:32:00"/>
    <n v="2.75"/>
    <n v="17850"/>
    <x v="0"/>
    <x v="0"/>
    <n v="22"/>
  </r>
  <r>
    <n v="536375"/>
    <n v="20679"/>
    <x v="47"/>
    <n v="6"/>
    <x v="10"/>
    <d v="1899-12-30T09:32:00"/>
    <n v="4.95"/>
    <n v="17850"/>
    <x v="0"/>
    <x v="0"/>
    <n v="29.700000000000003"/>
  </r>
  <r>
    <n v="536375"/>
    <n v="37370"/>
    <x v="48"/>
    <n v="6"/>
    <x v="10"/>
    <d v="1899-12-30T09:32:00"/>
    <n v="1.06"/>
    <n v="17850"/>
    <x v="0"/>
    <x v="0"/>
    <n v="6.36"/>
  </r>
  <r>
    <n v="536375"/>
    <n v="21871"/>
    <x v="49"/>
    <n v="6"/>
    <x v="10"/>
    <d v="1899-12-30T09:32:00"/>
    <n v="1.06"/>
    <n v="17850"/>
    <x v="0"/>
    <x v="0"/>
    <n v="6.36"/>
  </r>
  <r>
    <n v="536375"/>
    <n v="21071"/>
    <x v="50"/>
    <n v="6"/>
    <x v="10"/>
    <d v="1899-12-30T09:32:00"/>
    <n v="1.06"/>
    <n v="17850"/>
    <x v="0"/>
    <x v="0"/>
    <n v="6.36"/>
  </r>
  <r>
    <n v="536375"/>
    <n v="21068"/>
    <x v="51"/>
    <n v="6"/>
    <x v="10"/>
    <d v="1899-12-30T09:32:00"/>
    <n v="1.06"/>
    <n v="17850"/>
    <x v="0"/>
    <x v="0"/>
    <n v="6.36"/>
  </r>
  <r>
    <n v="536375"/>
    <n v="82483"/>
    <x v="52"/>
    <n v="2"/>
    <x v="10"/>
    <d v="1899-12-30T09:32:00"/>
    <n v="4.95"/>
    <n v="17850"/>
    <x v="0"/>
    <x v="0"/>
    <n v="9.9"/>
  </r>
  <r>
    <n v="536375"/>
    <n v="82486"/>
    <x v="53"/>
    <n v="4"/>
    <x v="10"/>
    <d v="1899-12-30T09:32:00"/>
    <n v="6.95"/>
    <n v="17850"/>
    <x v="0"/>
    <x v="0"/>
    <n v="27.8"/>
  </r>
  <r>
    <n v="536375"/>
    <n v="82482"/>
    <x v="54"/>
    <n v="6"/>
    <x v="10"/>
    <d v="1899-12-30T09:32:00"/>
    <n v="2.1"/>
    <n v="17850"/>
    <x v="0"/>
    <x v="0"/>
    <n v="12.600000000000001"/>
  </r>
  <r>
    <n v="536375"/>
    <s v="82494L"/>
    <x v="55"/>
    <n v="6"/>
    <x v="10"/>
    <d v="1899-12-30T09:32:00"/>
    <n v="2.5499999999999998"/>
    <n v="17850"/>
    <x v="0"/>
    <x v="0"/>
    <n v="15.299999999999999"/>
  </r>
  <r>
    <n v="536375"/>
    <s v="84029G"/>
    <x v="3"/>
    <n v="6"/>
    <x v="10"/>
    <d v="1899-12-30T09:32:00"/>
    <n v="3.39"/>
    <n v="17850"/>
    <x v="0"/>
    <x v="0"/>
    <n v="20.34"/>
  </r>
  <r>
    <n v="536375"/>
    <s v="84029E"/>
    <x v="4"/>
    <n v="6"/>
    <x v="10"/>
    <d v="1899-12-30T09:32:00"/>
    <n v="3.39"/>
    <n v="17850"/>
    <x v="0"/>
    <x v="0"/>
    <n v="20.34"/>
  </r>
  <r>
    <n v="536375"/>
    <n v="22752"/>
    <x v="5"/>
    <n v="2"/>
    <x v="10"/>
    <d v="1899-12-30T09:32:00"/>
    <n v="7.65"/>
    <n v="17850"/>
    <x v="0"/>
    <x v="0"/>
    <n v="15.3"/>
  </r>
  <r>
    <n v="536375"/>
    <n v="21730"/>
    <x v="6"/>
    <n v="6"/>
    <x v="10"/>
    <d v="1899-12-30T09:32:00"/>
    <n v="4.25"/>
    <n v="17850"/>
    <x v="0"/>
    <x v="0"/>
    <n v="25.5"/>
  </r>
  <r>
    <n v="536376"/>
    <n v="22114"/>
    <x v="57"/>
    <n v="48"/>
    <x v="10"/>
    <d v="1899-12-30T09:32:00"/>
    <n v="3.45"/>
    <n v="15291"/>
    <x v="0"/>
    <x v="0"/>
    <n v="165.60000000000002"/>
  </r>
  <r>
    <n v="536376"/>
    <n v="21733"/>
    <x v="58"/>
    <n v="64"/>
    <x v="10"/>
    <d v="1899-12-30T09:32:00"/>
    <n v="2.5499999999999998"/>
    <n v="15291"/>
    <x v="0"/>
    <x v="0"/>
    <n v="163.19999999999999"/>
  </r>
  <r>
    <n v="536377"/>
    <n v="22632"/>
    <x v="8"/>
    <n v="6"/>
    <x v="11"/>
    <d v="1899-12-30T09:34:00"/>
    <n v="1.85"/>
    <n v="17850"/>
    <x v="0"/>
    <x v="0"/>
    <n v="11.100000000000001"/>
  </r>
  <r>
    <n v="536377"/>
    <n v="22633"/>
    <x v="7"/>
    <n v="6"/>
    <x v="11"/>
    <d v="1899-12-30T09:34:00"/>
    <n v="1.85"/>
    <n v="17850"/>
    <x v="0"/>
    <x v="0"/>
    <n v="11.100000000000001"/>
  </r>
  <r>
    <n v="536378"/>
    <n v="22386"/>
    <x v="59"/>
    <n v="10"/>
    <x v="12"/>
    <d v="1899-12-30T09:37:00"/>
    <n v="1.95"/>
    <n v="14688"/>
    <x v="0"/>
    <x v="0"/>
    <n v="19.5"/>
  </r>
  <r>
    <n v="536378"/>
    <s v="85099C"/>
    <x v="60"/>
    <n v="10"/>
    <x v="12"/>
    <d v="1899-12-30T09:37:00"/>
    <n v="1.95"/>
    <n v="14688"/>
    <x v="0"/>
    <x v="0"/>
    <n v="19.5"/>
  </r>
  <r>
    <n v="536378"/>
    <n v="21033"/>
    <x v="61"/>
    <n v="10"/>
    <x v="12"/>
    <d v="1899-12-30T09:37:00"/>
    <n v="2.95"/>
    <n v="14688"/>
    <x v="0"/>
    <x v="0"/>
    <n v="29.5"/>
  </r>
  <r>
    <n v="536378"/>
    <n v="20723"/>
    <x v="62"/>
    <n v="10"/>
    <x v="12"/>
    <d v="1899-12-30T09:37:00"/>
    <n v="0.85"/>
    <n v="14688"/>
    <x v="0"/>
    <x v="0"/>
    <n v="8.5"/>
  </r>
  <r>
    <n v="536378"/>
    <s v="84997B"/>
    <x v="63"/>
    <n v="12"/>
    <x v="12"/>
    <d v="1899-12-30T09:37:00"/>
    <n v="3.75"/>
    <n v="14688"/>
    <x v="0"/>
    <x v="0"/>
    <n v="45"/>
  </r>
  <r>
    <n v="536378"/>
    <s v="84997C"/>
    <x v="64"/>
    <n v="6"/>
    <x v="12"/>
    <d v="1899-12-30T09:37:00"/>
    <n v="3.75"/>
    <n v="14688"/>
    <x v="0"/>
    <x v="0"/>
    <n v="22.5"/>
  </r>
  <r>
    <n v="536378"/>
    <n v="21094"/>
    <x v="65"/>
    <n v="12"/>
    <x v="12"/>
    <d v="1899-12-30T09:37:00"/>
    <n v="0.85"/>
    <n v="14688"/>
    <x v="0"/>
    <x v="0"/>
    <n v="10.199999999999999"/>
  </r>
  <r>
    <n v="536378"/>
    <n v="20725"/>
    <x v="66"/>
    <n v="10"/>
    <x v="12"/>
    <d v="1899-12-30T09:37:00"/>
    <n v="1.65"/>
    <n v="14688"/>
    <x v="0"/>
    <x v="0"/>
    <n v="16.5"/>
  </r>
  <r>
    <n v="536378"/>
    <n v="21559"/>
    <x v="67"/>
    <n v="6"/>
    <x v="12"/>
    <d v="1899-12-30T09:37:00"/>
    <n v="2.5499999999999998"/>
    <n v="14688"/>
    <x v="0"/>
    <x v="0"/>
    <n v="15.299999999999999"/>
  </r>
  <r>
    <n v="536378"/>
    <n v="22352"/>
    <x v="68"/>
    <n v="6"/>
    <x v="12"/>
    <d v="1899-12-30T09:37:00"/>
    <n v="2.5499999999999998"/>
    <n v="14688"/>
    <x v="0"/>
    <x v="0"/>
    <n v="15.299999999999999"/>
  </r>
  <r>
    <n v="536378"/>
    <n v="21212"/>
    <x v="69"/>
    <n v="120"/>
    <x v="12"/>
    <d v="1899-12-30T09:37:00"/>
    <n v="0.42"/>
    <n v="14688"/>
    <x v="0"/>
    <x v="0"/>
    <n v="50.4"/>
  </r>
  <r>
    <n v="536378"/>
    <n v="21975"/>
    <x v="70"/>
    <n v="24"/>
    <x v="12"/>
    <d v="1899-12-30T09:37:00"/>
    <n v="0.55000000000000004"/>
    <n v="14688"/>
    <x v="0"/>
    <x v="0"/>
    <n v="13.200000000000001"/>
  </r>
  <r>
    <n v="536378"/>
    <n v="21977"/>
    <x v="71"/>
    <n v="24"/>
    <x v="12"/>
    <d v="1899-12-30T09:37:00"/>
    <n v="0.55000000000000004"/>
    <n v="14688"/>
    <x v="0"/>
    <x v="0"/>
    <n v="13.200000000000001"/>
  </r>
  <r>
    <n v="536378"/>
    <n v="84991"/>
    <x v="72"/>
    <n v="24"/>
    <x v="12"/>
    <d v="1899-12-30T09:37:00"/>
    <n v="0.55000000000000004"/>
    <n v="14688"/>
    <x v="0"/>
    <x v="0"/>
    <n v="13.200000000000001"/>
  </r>
  <r>
    <n v="536378"/>
    <s v="84519A"/>
    <x v="73"/>
    <n v="6"/>
    <x v="12"/>
    <d v="1899-12-30T09:37:00"/>
    <n v="2.95"/>
    <n v="14688"/>
    <x v="0"/>
    <x v="0"/>
    <n v="17.700000000000003"/>
  </r>
  <r>
    <n v="536378"/>
    <s v="85183B"/>
    <x v="74"/>
    <n v="48"/>
    <x v="12"/>
    <d v="1899-12-30T09:37:00"/>
    <n v="1.25"/>
    <n v="14688"/>
    <x v="0"/>
    <x v="0"/>
    <n v="60"/>
  </r>
  <r>
    <n v="536378"/>
    <s v="85071B"/>
    <x v="75"/>
    <n v="96"/>
    <x v="12"/>
    <d v="1899-12-30T09:37:00"/>
    <n v="0.38"/>
    <n v="14688"/>
    <x v="0"/>
    <x v="0"/>
    <n v="36.480000000000004"/>
  </r>
  <r>
    <n v="536378"/>
    <n v="21931"/>
    <x v="76"/>
    <n v="10"/>
    <x v="12"/>
    <d v="1899-12-30T09:37:00"/>
    <n v="1.95"/>
    <n v="14688"/>
    <x v="0"/>
    <x v="0"/>
    <n v="19.5"/>
  </r>
  <r>
    <n v="536378"/>
    <n v="21929"/>
    <x v="77"/>
    <n v="10"/>
    <x v="12"/>
    <d v="1899-12-30T09:37:00"/>
    <n v="1.95"/>
    <n v="14688"/>
    <x v="0"/>
    <x v="0"/>
    <n v="19.5"/>
  </r>
  <r>
    <n v="536380"/>
    <n v="22961"/>
    <x v="78"/>
    <n v="24"/>
    <x v="13"/>
    <d v="1899-12-30T09:41:00"/>
    <n v="1.45"/>
    <n v="17809"/>
    <x v="0"/>
    <x v="0"/>
    <n v="34.799999999999997"/>
  </r>
  <r>
    <n v="536381"/>
    <n v="22139"/>
    <x v="79"/>
    <n v="23"/>
    <x v="13"/>
    <d v="1899-12-30T09:41:00"/>
    <n v="4.25"/>
    <n v="15311"/>
    <x v="0"/>
    <x v="0"/>
    <n v="97.75"/>
  </r>
  <r>
    <n v="536381"/>
    <n v="84854"/>
    <x v="80"/>
    <n v="5"/>
    <x v="13"/>
    <d v="1899-12-30T09:41:00"/>
    <n v="4.95"/>
    <n v="15311"/>
    <x v="0"/>
    <x v="0"/>
    <n v="24.75"/>
  </r>
  <r>
    <n v="536381"/>
    <n v="22411"/>
    <x v="81"/>
    <n v="10"/>
    <x v="13"/>
    <d v="1899-12-30T09:41:00"/>
    <n v="1.95"/>
    <n v="15311"/>
    <x v="0"/>
    <x v="0"/>
    <n v="19.5"/>
  </r>
  <r>
    <n v="536381"/>
    <n v="82567"/>
    <x v="82"/>
    <n v="2"/>
    <x v="13"/>
    <d v="1899-12-30T09:41:00"/>
    <n v="2.1"/>
    <n v="15311"/>
    <x v="0"/>
    <x v="0"/>
    <n v="4.2"/>
  </r>
  <r>
    <n v="536381"/>
    <n v="21672"/>
    <x v="83"/>
    <n v="6"/>
    <x v="13"/>
    <d v="1899-12-30T09:41:00"/>
    <n v="1.25"/>
    <n v="15311"/>
    <x v="0"/>
    <x v="0"/>
    <n v="7.5"/>
  </r>
  <r>
    <n v="536381"/>
    <n v="22774"/>
    <x v="84"/>
    <n v="24"/>
    <x v="13"/>
    <d v="1899-12-30T09:41:00"/>
    <n v="1.25"/>
    <n v="15311"/>
    <x v="0"/>
    <x v="0"/>
    <n v="30"/>
  </r>
  <r>
    <n v="536381"/>
    <n v="22771"/>
    <x v="85"/>
    <n v="24"/>
    <x v="13"/>
    <d v="1899-12-30T09:41:00"/>
    <n v="1.25"/>
    <n v="15311"/>
    <x v="0"/>
    <x v="0"/>
    <n v="30"/>
  </r>
  <r>
    <n v="536381"/>
    <n v="71270"/>
    <x v="86"/>
    <n v="1"/>
    <x v="13"/>
    <d v="1899-12-30T09:41:00"/>
    <n v="1.25"/>
    <n v="15311"/>
    <x v="0"/>
    <x v="0"/>
    <n v="1.25"/>
  </r>
  <r>
    <n v="536381"/>
    <n v="22262"/>
    <x v="87"/>
    <n v="1"/>
    <x v="13"/>
    <d v="1899-12-30T09:41:00"/>
    <n v="0.85"/>
    <n v="15311"/>
    <x v="0"/>
    <x v="0"/>
    <n v="0.85"/>
  </r>
  <r>
    <n v="536381"/>
    <n v="22637"/>
    <x v="88"/>
    <n v="1"/>
    <x v="13"/>
    <d v="1899-12-30T09:41:00"/>
    <n v="2.5499999999999998"/>
    <n v="15311"/>
    <x v="0"/>
    <x v="0"/>
    <n v="2.5499999999999998"/>
  </r>
  <r>
    <n v="536381"/>
    <n v="21934"/>
    <x v="89"/>
    <n v="10"/>
    <x v="13"/>
    <d v="1899-12-30T09:41:00"/>
    <n v="1.65"/>
    <n v="15311"/>
    <x v="0"/>
    <x v="0"/>
    <n v="16.5"/>
  </r>
  <r>
    <n v="536381"/>
    <n v="21169"/>
    <x v="90"/>
    <n v="3"/>
    <x v="13"/>
    <d v="1899-12-30T09:41:00"/>
    <n v="1.69"/>
    <n v="15311"/>
    <x v="0"/>
    <x v="0"/>
    <n v="5.07"/>
  </r>
  <r>
    <n v="536381"/>
    <n v="21166"/>
    <x v="91"/>
    <n v="1"/>
    <x v="13"/>
    <d v="1899-12-30T09:41:00"/>
    <n v="1.95"/>
    <n v="15311"/>
    <x v="0"/>
    <x v="0"/>
    <n v="1.95"/>
  </r>
  <r>
    <n v="536381"/>
    <n v="21175"/>
    <x v="92"/>
    <n v="2"/>
    <x v="13"/>
    <d v="1899-12-30T09:41:00"/>
    <n v="2.1"/>
    <n v="15311"/>
    <x v="0"/>
    <x v="0"/>
    <n v="4.2"/>
  </r>
  <r>
    <n v="536381"/>
    <s v="37444A"/>
    <x v="93"/>
    <n v="1"/>
    <x v="13"/>
    <d v="1899-12-30T09:41:00"/>
    <n v="2.95"/>
    <n v="15311"/>
    <x v="0"/>
    <x v="0"/>
    <n v="2.95"/>
  </r>
  <r>
    <n v="536381"/>
    <s v="37444C"/>
    <x v="94"/>
    <n v="1"/>
    <x v="13"/>
    <d v="1899-12-30T09:41:00"/>
    <n v="2.95"/>
    <n v="15311"/>
    <x v="0"/>
    <x v="0"/>
    <n v="2.95"/>
  </r>
  <r>
    <n v="536381"/>
    <n v="22086"/>
    <x v="46"/>
    <n v="4"/>
    <x v="13"/>
    <d v="1899-12-30T09:41:00"/>
    <n v="2.95"/>
    <n v="15311"/>
    <x v="0"/>
    <x v="0"/>
    <n v="11.8"/>
  </r>
  <r>
    <n v="536381"/>
    <n v="22083"/>
    <x v="95"/>
    <n v="1"/>
    <x v="13"/>
    <d v="1899-12-30T09:41:00"/>
    <n v="2.95"/>
    <n v="15311"/>
    <x v="0"/>
    <x v="0"/>
    <n v="2.95"/>
  </r>
  <r>
    <n v="536381"/>
    <s v="84971S"/>
    <x v="96"/>
    <n v="6"/>
    <x v="13"/>
    <d v="1899-12-30T09:41:00"/>
    <n v="0.85"/>
    <n v="15311"/>
    <x v="0"/>
    <x v="0"/>
    <n v="5.0999999999999996"/>
  </r>
  <r>
    <n v="536381"/>
    <n v="71270"/>
    <x v="86"/>
    <n v="3"/>
    <x v="13"/>
    <d v="1899-12-30T09:41:00"/>
    <n v="1.25"/>
    <n v="15311"/>
    <x v="0"/>
    <x v="0"/>
    <n v="3.75"/>
  </r>
  <r>
    <n v="536381"/>
    <n v="47580"/>
    <x v="97"/>
    <n v="2"/>
    <x v="13"/>
    <d v="1899-12-30T09:41:00"/>
    <n v="2.5499999999999998"/>
    <n v="15311"/>
    <x v="0"/>
    <x v="0"/>
    <n v="5.0999999999999996"/>
  </r>
  <r>
    <n v="536381"/>
    <n v="22261"/>
    <x v="98"/>
    <n v="1"/>
    <x v="13"/>
    <d v="1899-12-30T09:41:00"/>
    <n v="0.85"/>
    <n v="15311"/>
    <x v="0"/>
    <x v="0"/>
    <n v="0.85"/>
  </r>
  <r>
    <n v="536381"/>
    <n v="84832"/>
    <x v="99"/>
    <n v="1"/>
    <x v="13"/>
    <d v="1899-12-30T09:41:00"/>
    <n v="0.85"/>
    <n v="15311"/>
    <x v="0"/>
    <x v="0"/>
    <n v="0.85"/>
  </r>
  <r>
    <n v="536381"/>
    <n v="22644"/>
    <x v="100"/>
    <n v="1"/>
    <x v="13"/>
    <d v="1899-12-30T09:41:00"/>
    <n v="1.45"/>
    <n v="15311"/>
    <x v="0"/>
    <x v="0"/>
    <n v="1.45"/>
  </r>
  <r>
    <n v="536381"/>
    <n v="21533"/>
    <x v="101"/>
    <n v="1"/>
    <x v="13"/>
    <d v="1899-12-30T09:41:00"/>
    <n v="4.95"/>
    <n v="15311"/>
    <x v="0"/>
    <x v="0"/>
    <n v="4.95"/>
  </r>
  <r>
    <n v="536381"/>
    <n v="21557"/>
    <x v="102"/>
    <n v="2"/>
    <x v="13"/>
    <d v="1899-12-30T09:41:00"/>
    <n v="2.95"/>
    <n v="15311"/>
    <x v="0"/>
    <x v="0"/>
    <n v="5.9"/>
  </r>
  <r>
    <n v="536381"/>
    <s v="15056BL"/>
    <x v="103"/>
    <n v="2"/>
    <x v="13"/>
    <d v="1899-12-30T09:41:00"/>
    <n v="5.95"/>
    <n v="15311"/>
    <x v="0"/>
    <x v="0"/>
    <n v="11.9"/>
  </r>
  <r>
    <n v="536381"/>
    <s v="15056N"/>
    <x v="104"/>
    <n v="2"/>
    <x v="13"/>
    <d v="1899-12-30T09:41:00"/>
    <n v="5.95"/>
    <n v="15311"/>
    <x v="0"/>
    <x v="0"/>
    <n v="11.9"/>
  </r>
  <r>
    <n v="536381"/>
    <n v="22646"/>
    <x v="105"/>
    <n v="4"/>
    <x v="13"/>
    <d v="1899-12-30T09:41:00"/>
    <n v="1.45"/>
    <n v="15311"/>
    <x v="0"/>
    <x v="0"/>
    <n v="5.8"/>
  </r>
  <r>
    <n v="536381"/>
    <n v="22176"/>
    <x v="106"/>
    <n v="1"/>
    <x v="13"/>
    <d v="1899-12-30T09:41:00"/>
    <n v="2.95"/>
    <n v="15311"/>
    <x v="0"/>
    <x v="0"/>
    <n v="2.95"/>
  </r>
  <r>
    <n v="536381"/>
    <n v="22438"/>
    <x v="107"/>
    <n v="1"/>
    <x v="13"/>
    <d v="1899-12-30T09:41:00"/>
    <n v="1.95"/>
    <n v="15311"/>
    <x v="0"/>
    <x v="0"/>
    <n v="1.95"/>
  </r>
  <r>
    <n v="536381"/>
    <n v="21731"/>
    <x v="39"/>
    <n v="2"/>
    <x v="13"/>
    <d v="1899-12-30T09:41:00"/>
    <n v="1.65"/>
    <n v="15311"/>
    <x v="0"/>
    <x v="0"/>
    <n v="3.3"/>
  </r>
  <r>
    <n v="536381"/>
    <n v="22778"/>
    <x v="108"/>
    <n v="3"/>
    <x v="13"/>
    <d v="1899-12-30T09:41:00"/>
    <n v="3.95"/>
    <n v="15311"/>
    <x v="0"/>
    <x v="0"/>
    <n v="11.850000000000001"/>
  </r>
  <r>
    <n v="536381"/>
    <n v="22719"/>
    <x v="109"/>
    <n v="36"/>
    <x v="13"/>
    <d v="1899-12-30T09:41:00"/>
    <n v="1.06"/>
    <n v="15311"/>
    <x v="0"/>
    <x v="0"/>
    <n v="38.160000000000004"/>
  </r>
  <r>
    <n v="536381"/>
    <n v="21523"/>
    <x v="110"/>
    <n v="10"/>
    <x v="13"/>
    <d v="1899-12-30T09:41:00"/>
    <n v="6.75"/>
    <n v="15311"/>
    <x v="0"/>
    <x v="0"/>
    <n v="67.5"/>
  </r>
  <r>
    <s v="C536379"/>
    <s v="D"/>
    <x v="111"/>
    <n v="-1"/>
    <x v="13"/>
    <d v="1899-12-30T09:41:00"/>
    <n v="27.5"/>
    <n v="14527"/>
    <x v="0"/>
    <x v="1"/>
    <n v="-27.5"/>
  </r>
  <r>
    <n v="536382"/>
    <n v="10002"/>
    <x v="31"/>
    <n v="12"/>
    <x v="14"/>
    <d v="1899-12-30T09:45:00"/>
    <n v="0.85"/>
    <n v="16098"/>
    <x v="0"/>
    <x v="0"/>
    <n v="10.199999999999999"/>
  </r>
  <r>
    <n v="536382"/>
    <n v="21912"/>
    <x v="112"/>
    <n v="8"/>
    <x v="14"/>
    <d v="1899-12-30T09:45:00"/>
    <n v="3.75"/>
    <n v="16098"/>
    <x v="0"/>
    <x v="0"/>
    <n v="30"/>
  </r>
  <r>
    <n v="536382"/>
    <n v="21832"/>
    <x v="113"/>
    <n v="12"/>
    <x v="14"/>
    <d v="1899-12-30T09:45:00"/>
    <n v="1.65"/>
    <n v="16098"/>
    <x v="0"/>
    <x v="0"/>
    <n v="19.799999999999997"/>
  </r>
  <r>
    <n v="536382"/>
    <n v="22411"/>
    <x v="81"/>
    <n v="10"/>
    <x v="14"/>
    <d v="1899-12-30T09:45:00"/>
    <n v="1.95"/>
    <n v="16098"/>
    <x v="0"/>
    <x v="0"/>
    <n v="19.5"/>
  </r>
  <r>
    <n v="536382"/>
    <n v="22379"/>
    <x v="114"/>
    <n v="10"/>
    <x v="14"/>
    <d v="1899-12-30T09:45:00"/>
    <n v="2.1"/>
    <n v="16098"/>
    <x v="0"/>
    <x v="0"/>
    <n v="21"/>
  </r>
  <r>
    <n v="536382"/>
    <n v="22381"/>
    <x v="115"/>
    <n v="50"/>
    <x v="14"/>
    <d v="1899-12-30T09:45:00"/>
    <n v="1.85"/>
    <n v="16098"/>
    <x v="0"/>
    <x v="0"/>
    <n v="92.5"/>
  </r>
  <r>
    <n v="536382"/>
    <n v="22798"/>
    <x v="116"/>
    <n v="8"/>
    <x v="14"/>
    <d v="1899-12-30T09:45:00"/>
    <n v="2.95"/>
    <n v="16098"/>
    <x v="0"/>
    <x v="0"/>
    <n v="23.6"/>
  </r>
  <r>
    <n v="536382"/>
    <n v="22726"/>
    <x v="28"/>
    <n v="4"/>
    <x v="14"/>
    <d v="1899-12-30T09:45:00"/>
    <n v="3.75"/>
    <n v="16098"/>
    <x v="0"/>
    <x v="0"/>
    <n v="15"/>
  </r>
  <r>
    <n v="536382"/>
    <n v="22926"/>
    <x v="117"/>
    <n v="12"/>
    <x v="14"/>
    <d v="1899-12-30T09:45:00"/>
    <n v="5.95"/>
    <n v="16098"/>
    <x v="0"/>
    <x v="0"/>
    <n v="71.400000000000006"/>
  </r>
  <r>
    <n v="536382"/>
    <n v="22839"/>
    <x v="118"/>
    <n v="2"/>
    <x v="14"/>
    <d v="1899-12-30T09:45:00"/>
    <n v="14.95"/>
    <n v="16098"/>
    <x v="0"/>
    <x v="0"/>
    <n v="29.9"/>
  </r>
  <r>
    <n v="536382"/>
    <n v="22838"/>
    <x v="119"/>
    <n v="2"/>
    <x v="14"/>
    <d v="1899-12-30T09:45:00"/>
    <n v="14.95"/>
    <n v="16098"/>
    <x v="0"/>
    <x v="0"/>
    <n v="29.9"/>
  </r>
  <r>
    <n v="536382"/>
    <n v="22783"/>
    <x v="120"/>
    <n v="4"/>
    <x v="14"/>
    <d v="1899-12-30T09:45:00"/>
    <n v="16.95"/>
    <n v="16098"/>
    <x v="0"/>
    <x v="0"/>
    <n v="67.8"/>
  </r>
  <r>
    <s v="C536383"/>
    <s v="35004C"/>
    <x v="121"/>
    <n v="-1"/>
    <x v="15"/>
    <d v="1899-12-30T09:49:00"/>
    <n v="4.6500000000000004"/>
    <n v="15311"/>
    <x v="0"/>
    <x v="1"/>
    <n v="-4.6500000000000004"/>
  </r>
  <r>
    <n v="536384"/>
    <n v="82484"/>
    <x v="122"/>
    <n v="3"/>
    <x v="16"/>
    <d v="1899-12-30T09:53:00"/>
    <n v="6.45"/>
    <n v="18074"/>
    <x v="0"/>
    <x v="0"/>
    <n v="19.350000000000001"/>
  </r>
  <r>
    <n v="536384"/>
    <n v="84755"/>
    <x v="123"/>
    <n v="48"/>
    <x v="16"/>
    <d v="1899-12-30T09:53:00"/>
    <n v="0.65"/>
    <n v="18074"/>
    <x v="0"/>
    <x v="0"/>
    <n v="31.200000000000003"/>
  </r>
  <r>
    <n v="536384"/>
    <n v="22464"/>
    <x v="124"/>
    <n v="12"/>
    <x v="16"/>
    <d v="1899-12-30T09:53:00"/>
    <n v="1.65"/>
    <n v="18074"/>
    <x v="0"/>
    <x v="0"/>
    <n v="19.799999999999997"/>
  </r>
  <r>
    <n v="536384"/>
    <n v="21324"/>
    <x v="125"/>
    <n v="6"/>
    <x v="16"/>
    <d v="1899-12-30T09:53:00"/>
    <n v="2.95"/>
    <n v="18074"/>
    <x v="0"/>
    <x v="0"/>
    <n v="17.700000000000003"/>
  </r>
  <r>
    <n v="536384"/>
    <n v="22457"/>
    <x v="126"/>
    <n v="12"/>
    <x v="16"/>
    <d v="1899-12-30T09:53:00"/>
    <n v="2.95"/>
    <n v="18074"/>
    <x v="0"/>
    <x v="0"/>
    <n v="35.400000000000006"/>
  </r>
  <r>
    <n v="536384"/>
    <n v="22469"/>
    <x v="127"/>
    <n v="40"/>
    <x v="16"/>
    <d v="1899-12-30T09:53:00"/>
    <n v="1.45"/>
    <n v="18074"/>
    <x v="0"/>
    <x v="0"/>
    <n v="58"/>
  </r>
  <r>
    <n v="536384"/>
    <n v="22470"/>
    <x v="128"/>
    <n v="40"/>
    <x v="16"/>
    <d v="1899-12-30T09:53:00"/>
    <n v="2.5499999999999998"/>
    <n v="18074"/>
    <x v="0"/>
    <x v="0"/>
    <n v="102"/>
  </r>
  <r>
    <n v="536384"/>
    <n v="22224"/>
    <x v="129"/>
    <n v="6"/>
    <x v="16"/>
    <d v="1899-12-30T09:53:00"/>
    <n v="2.95"/>
    <n v="18074"/>
    <x v="0"/>
    <x v="0"/>
    <n v="17.700000000000003"/>
  </r>
  <r>
    <n v="536384"/>
    <n v="21340"/>
    <x v="130"/>
    <n v="2"/>
    <x v="16"/>
    <d v="1899-12-30T09:53:00"/>
    <n v="12.75"/>
    <n v="18074"/>
    <x v="0"/>
    <x v="0"/>
    <n v="25.5"/>
  </r>
  <r>
    <n v="536384"/>
    <n v="22189"/>
    <x v="131"/>
    <n v="4"/>
    <x v="16"/>
    <d v="1899-12-30T09:53:00"/>
    <n v="3.95"/>
    <n v="18074"/>
    <x v="0"/>
    <x v="0"/>
    <n v="15.8"/>
  </r>
  <r>
    <n v="536384"/>
    <n v="22427"/>
    <x v="132"/>
    <n v="3"/>
    <x v="16"/>
    <d v="1899-12-30T09:53:00"/>
    <n v="5.95"/>
    <n v="18074"/>
    <x v="0"/>
    <x v="0"/>
    <n v="17.850000000000001"/>
  </r>
  <r>
    <n v="536384"/>
    <n v="22428"/>
    <x v="133"/>
    <n v="6"/>
    <x v="16"/>
    <d v="1899-12-30T09:53:00"/>
    <n v="6.95"/>
    <n v="18074"/>
    <x v="0"/>
    <x v="0"/>
    <n v="41.7"/>
  </r>
  <r>
    <n v="536384"/>
    <n v="22424"/>
    <x v="134"/>
    <n v="8"/>
    <x v="16"/>
    <d v="1899-12-30T09:53:00"/>
    <n v="10.95"/>
    <n v="18074"/>
    <x v="0"/>
    <x v="0"/>
    <n v="87.6"/>
  </r>
  <r>
    <n v="536385"/>
    <n v="22783"/>
    <x v="120"/>
    <n v="1"/>
    <x v="17"/>
    <d v="1899-12-30T09:56:00"/>
    <n v="19.95"/>
    <n v="17420"/>
    <x v="0"/>
    <x v="0"/>
    <n v="19.95"/>
  </r>
  <r>
    <n v="536385"/>
    <n v="22961"/>
    <x v="78"/>
    <n v="12"/>
    <x v="17"/>
    <d v="1899-12-30T09:56:00"/>
    <n v="1.45"/>
    <n v="17420"/>
    <x v="0"/>
    <x v="0"/>
    <n v="17.399999999999999"/>
  </r>
  <r>
    <n v="536385"/>
    <n v="22960"/>
    <x v="21"/>
    <n v="6"/>
    <x v="17"/>
    <d v="1899-12-30T09:56:00"/>
    <n v="4.25"/>
    <n v="17420"/>
    <x v="0"/>
    <x v="0"/>
    <n v="25.5"/>
  </r>
  <r>
    <n v="536385"/>
    <n v="22663"/>
    <x v="135"/>
    <n v="10"/>
    <x v="17"/>
    <d v="1899-12-30T09:56:00"/>
    <n v="1.95"/>
    <n v="17420"/>
    <x v="0"/>
    <x v="0"/>
    <n v="19.5"/>
  </r>
  <r>
    <n v="536385"/>
    <s v="85049A"/>
    <x v="136"/>
    <n v="12"/>
    <x v="17"/>
    <d v="1899-12-30T09:56:00"/>
    <n v="1.25"/>
    <n v="17420"/>
    <x v="0"/>
    <x v="0"/>
    <n v="15"/>
  </r>
  <r>
    <n v="536385"/>
    <n v="22168"/>
    <x v="137"/>
    <n v="2"/>
    <x v="17"/>
    <d v="1899-12-30T09:56:00"/>
    <n v="8.5"/>
    <n v="17420"/>
    <x v="0"/>
    <x v="0"/>
    <n v="17"/>
  </r>
  <r>
    <n v="536385"/>
    <n v="22662"/>
    <x v="138"/>
    <n v="10"/>
    <x v="17"/>
    <d v="1899-12-30T09:56:00"/>
    <n v="1.65"/>
    <n v="17420"/>
    <x v="0"/>
    <x v="0"/>
    <n v="16.5"/>
  </r>
  <r>
    <n v="536386"/>
    <n v="84880"/>
    <x v="139"/>
    <n v="36"/>
    <x v="18"/>
    <d v="1899-12-30T09:57:00"/>
    <n v="4.95"/>
    <n v="16029"/>
    <x v="0"/>
    <x v="0"/>
    <n v="178.20000000000002"/>
  </r>
  <r>
    <n v="536386"/>
    <s v="85099C"/>
    <x v="60"/>
    <n v="100"/>
    <x v="18"/>
    <d v="1899-12-30T09:57:00"/>
    <n v="1.65"/>
    <n v="16029"/>
    <x v="0"/>
    <x v="0"/>
    <n v="165"/>
  </r>
  <r>
    <n v="536386"/>
    <s v="85099B"/>
    <x v="140"/>
    <n v="100"/>
    <x v="18"/>
    <d v="1899-12-30T09:57:00"/>
    <n v="1.65"/>
    <n v="16029"/>
    <x v="0"/>
    <x v="0"/>
    <n v="165"/>
  </r>
  <r>
    <n v="536387"/>
    <n v="79321"/>
    <x v="141"/>
    <n v="192"/>
    <x v="19"/>
    <d v="1899-12-30T09:58:00"/>
    <n v="3.82"/>
    <n v="16029"/>
    <x v="0"/>
    <x v="0"/>
    <n v="733.43999999999994"/>
  </r>
  <r>
    <n v="536387"/>
    <n v="22780"/>
    <x v="142"/>
    <n v="192"/>
    <x v="19"/>
    <d v="1899-12-30T09:58:00"/>
    <n v="3.37"/>
    <n v="16029"/>
    <x v="0"/>
    <x v="0"/>
    <n v="647.04"/>
  </r>
  <r>
    <n v="536387"/>
    <n v="22779"/>
    <x v="143"/>
    <n v="192"/>
    <x v="19"/>
    <d v="1899-12-30T09:58:00"/>
    <n v="3.37"/>
    <n v="16029"/>
    <x v="0"/>
    <x v="0"/>
    <n v="647.04"/>
  </r>
  <r>
    <n v="536387"/>
    <n v="22466"/>
    <x v="144"/>
    <n v="432"/>
    <x v="19"/>
    <d v="1899-12-30T09:58:00"/>
    <n v="1.45"/>
    <n v="16029"/>
    <x v="0"/>
    <x v="0"/>
    <n v="626.4"/>
  </r>
  <r>
    <n v="536387"/>
    <n v="21731"/>
    <x v="39"/>
    <n v="432"/>
    <x v="19"/>
    <d v="1899-12-30T09:58:00"/>
    <n v="1.25"/>
    <n v="16029"/>
    <x v="0"/>
    <x v="0"/>
    <n v="540"/>
  </r>
  <r>
    <n v="536388"/>
    <n v="21754"/>
    <x v="17"/>
    <n v="3"/>
    <x v="20"/>
    <d v="1899-12-30T09:59:00"/>
    <n v="5.95"/>
    <n v="16250"/>
    <x v="0"/>
    <x v="0"/>
    <n v="17.850000000000001"/>
  </r>
  <r>
    <n v="536388"/>
    <n v="21755"/>
    <x v="18"/>
    <n v="3"/>
    <x v="20"/>
    <d v="1899-12-30T09:59:00"/>
    <n v="5.95"/>
    <n v="16250"/>
    <x v="0"/>
    <x v="0"/>
    <n v="17.850000000000001"/>
  </r>
  <r>
    <n v="536388"/>
    <n v="21523"/>
    <x v="110"/>
    <n v="2"/>
    <x v="20"/>
    <d v="1899-12-30T09:59:00"/>
    <n v="7.95"/>
    <n v="16250"/>
    <x v="0"/>
    <x v="0"/>
    <n v="15.9"/>
  </r>
  <r>
    <n v="536388"/>
    <n v="21363"/>
    <x v="145"/>
    <n v="3"/>
    <x v="20"/>
    <d v="1899-12-30T09:59:00"/>
    <n v="4.95"/>
    <n v="16250"/>
    <x v="0"/>
    <x v="0"/>
    <n v="14.850000000000001"/>
  </r>
  <r>
    <n v="536388"/>
    <n v="21411"/>
    <x v="146"/>
    <n v="3"/>
    <x v="20"/>
    <d v="1899-12-30T09:59:00"/>
    <n v="4.25"/>
    <n v="16250"/>
    <x v="0"/>
    <x v="0"/>
    <n v="12.75"/>
  </r>
  <r>
    <n v="536388"/>
    <n v="22318"/>
    <x v="147"/>
    <n v="6"/>
    <x v="20"/>
    <d v="1899-12-30T09:59:00"/>
    <n v="2.95"/>
    <n v="16250"/>
    <x v="0"/>
    <x v="0"/>
    <n v="17.700000000000003"/>
  </r>
  <r>
    <n v="536388"/>
    <n v="22464"/>
    <x v="124"/>
    <n v="12"/>
    <x v="20"/>
    <d v="1899-12-30T09:59:00"/>
    <n v="1.65"/>
    <n v="16250"/>
    <x v="0"/>
    <x v="0"/>
    <n v="19.799999999999997"/>
  </r>
  <r>
    <n v="536388"/>
    <n v="22915"/>
    <x v="148"/>
    <n v="12"/>
    <x v="20"/>
    <d v="1899-12-30T09:59:00"/>
    <n v="0.42"/>
    <n v="16250"/>
    <x v="0"/>
    <x v="0"/>
    <n v="5.04"/>
  </r>
  <r>
    <n v="536388"/>
    <n v="22922"/>
    <x v="149"/>
    <n v="12"/>
    <x v="20"/>
    <d v="1899-12-30T09:59:00"/>
    <n v="0.85"/>
    <n v="16250"/>
    <x v="0"/>
    <x v="0"/>
    <n v="10.199999999999999"/>
  </r>
  <r>
    <n v="536388"/>
    <n v="22969"/>
    <x v="150"/>
    <n v="12"/>
    <x v="20"/>
    <d v="1899-12-30T09:59:00"/>
    <n v="1.45"/>
    <n v="16250"/>
    <x v="0"/>
    <x v="0"/>
    <n v="17.399999999999999"/>
  </r>
  <r>
    <n v="536388"/>
    <n v="22923"/>
    <x v="151"/>
    <n v="12"/>
    <x v="20"/>
    <d v="1899-12-30T09:59:00"/>
    <n v="0.85"/>
    <n v="16250"/>
    <x v="0"/>
    <x v="0"/>
    <n v="10.199999999999999"/>
  </r>
  <r>
    <n v="536388"/>
    <n v="21115"/>
    <x v="152"/>
    <n v="4"/>
    <x v="20"/>
    <d v="1899-12-30T09:59:00"/>
    <n v="6.75"/>
    <n v="16250"/>
    <x v="0"/>
    <x v="0"/>
    <n v="27"/>
  </r>
  <r>
    <n v="536388"/>
    <n v="22469"/>
    <x v="127"/>
    <n v="12"/>
    <x v="20"/>
    <d v="1899-12-30T09:59:00"/>
    <n v="1.65"/>
    <n v="16250"/>
    <x v="0"/>
    <x v="0"/>
    <n v="19.799999999999997"/>
  </r>
  <r>
    <n v="536388"/>
    <n v="22242"/>
    <x v="153"/>
    <n v="12"/>
    <x v="20"/>
    <d v="1899-12-30T09:59:00"/>
    <n v="1.65"/>
    <n v="16250"/>
    <x v="0"/>
    <x v="0"/>
    <n v="19.799999999999997"/>
  </r>
  <r>
    <n v="536389"/>
    <n v="22941"/>
    <x v="154"/>
    <n v="6"/>
    <x v="21"/>
    <d v="1899-12-30T10:03:00"/>
    <n v="8.5"/>
    <n v="12431"/>
    <x v="2"/>
    <x v="0"/>
    <n v="51"/>
  </r>
  <r>
    <n v="536389"/>
    <n v="21622"/>
    <x v="155"/>
    <n v="8"/>
    <x v="21"/>
    <d v="1899-12-30T10:03:00"/>
    <n v="4.95"/>
    <n v="12431"/>
    <x v="2"/>
    <x v="0"/>
    <n v="39.6"/>
  </r>
  <r>
    <n v="536389"/>
    <n v="21791"/>
    <x v="32"/>
    <n v="12"/>
    <x v="21"/>
    <d v="1899-12-30T10:03:00"/>
    <n v="1.25"/>
    <n v="12431"/>
    <x v="2"/>
    <x v="0"/>
    <n v="15"/>
  </r>
  <r>
    <n v="536389"/>
    <s v="35004C"/>
    <x v="121"/>
    <n v="6"/>
    <x v="21"/>
    <d v="1899-12-30T10:03:00"/>
    <n v="5.45"/>
    <n v="12431"/>
    <x v="2"/>
    <x v="0"/>
    <n v="32.700000000000003"/>
  </r>
  <r>
    <n v="536389"/>
    <s v="35004G"/>
    <x v="156"/>
    <n v="4"/>
    <x v="21"/>
    <d v="1899-12-30T10:03:00"/>
    <n v="6.35"/>
    <n v="12431"/>
    <x v="2"/>
    <x v="0"/>
    <n v="25.4"/>
  </r>
  <r>
    <n v="536389"/>
    <s v="85014B"/>
    <x v="157"/>
    <n v="6"/>
    <x v="21"/>
    <d v="1899-12-30T10:03:00"/>
    <n v="5.95"/>
    <n v="12431"/>
    <x v="2"/>
    <x v="0"/>
    <n v="35.700000000000003"/>
  </r>
  <r>
    <n v="536389"/>
    <s v="85014A"/>
    <x v="158"/>
    <n v="3"/>
    <x v="21"/>
    <d v="1899-12-30T10:03:00"/>
    <n v="5.95"/>
    <n v="12431"/>
    <x v="2"/>
    <x v="0"/>
    <n v="17.850000000000001"/>
  </r>
  <r>
    <n v="536389"/>
    <n v="22193"/>
    <x v="159"/>
    <n v="2"/>
    <x v="21"/>
    <d v="1899-12-30T10:03:00"/>
    <n v="8.5"/>
    <n v="12431"/>
    <x v="2"/>
    <x v="0"/>
    <n v="17"/>
  </r>
  <r>
    <n v="536389"/>
    <n v="22726"/>
    <x v="28"/>
    <n v="4"/>
    <x v="21"/>
    <d v="1899-12-30T10:03:00"/>
    <n v="3.75"/>
    <n v="12431"/>
    <x v="2"/>
    <x v="0"/>
    <n v="15"/>
  </r>
  <r>
    <n v="536389"/>
    <n v="22727"/>
    <x v="27"/>
    <n v="4"/>
    <x v="21"/>
    <d v="1899-12-30T10:03:00"/>
    <n v="3.75"/>
    <n v="12431"/>
    <x v="2"/>
    <x v="0"/>
    <n v="15"/>
  </r>
  <r>
    <n v="536389"/>
    <n v="22192"/>
    <x v="160"/>
    <n v="2"/>
    <x v="21"/>
    <d v="1899-12-30T10:03:00"/>
    <n v="8.5"/>
    <n v="12431"/>
    <x v="2"/>
    <x v="0"/>
    <n v="17"/>
  </r>
  <r>
    <n v="536389"/>
    <n v="22191"/>
    <x v="161"/>
    <n v="2"/>
    <x v="21"/>
    <d v="1899-12-30T10:03:00"/>
    <n v="8.5"/>
    <n v="12431"/>
    <x v="2"/>
    <x v="0"/>
    <n v="17"/>
  </r>
  <r>
    <n v="536389"/>
    <n v="22195"/>
    <x v="162"/>
    <n v="24"/>
    <x v="21"/>
    <d v="1899-12-30T10:03:00"/>
    <n v="1.65"/>
    <n v="12431"/>
    <x v="2"/>
    <x v="0"/>
    <n v="39.599999999999994"/>
  </r>
  <r>
    <n v="536389"/>
    <n v="22196"/>
    <x v="163"/>
    <n v="24"/>
    <x v="21"/>
    <d v="1899-12-30T10:03:00"/>
    <n v="0.85"/>
    <n v="12431"/>
    <x v="2"/>
    <x v="0"/>
    <n v="20.399999999999999"/>
  </r>
  <r>
    <n v="536390"/>
    <n v="22941"/>
    <x v="154"/>
    <n v="2"/>
    <x v="22"/>
    <d v="1899-12-30T10:19:00"/>
    <n v="8.5"/>
    <n v="17511"/>
    <x v="0"/>
    <x v="0"/>
    <n v="17"/>
  </r>
  <r>
    <n v="536390"/>
    <n v="22960"/>
    <x v="21"/>
    <n v="12"/>
    <x v="22"/>
    <d v="1899-12-30T10:19:00"/>
    <n v="3.75"/>
    <n v="17511"/>
    <x v="0"/>
    <x v="0"/>
    <n v="45"/>
  </r>
  <r>
    <n v="536390"/>
    <n v="22961"/>
    <x v="78"/>
    <n v="12"/>
    <x v="22"/>
    <d v="1899-12-30T10:19:00"/>
    <n v="1.45"/>
    <n v="17511"/>
    <x v="0"/>
    <x v="0"/>
    <n v="17.399999999999999"/>
  </r>
  <r>
    <n v="536390"/>
    <n v="22962"/>
    <x v="164"/>
    <n v="48"/>
    <x v="22"/>
    <d v="1899-12-30T10:19:00"/>
    <n v="0.72"/>
    <n v="17511"/>
    <x v="0"/>
    <x v="0"/>
    <n v="34.56"/>
  </r>
  <r>
    <n v="536390"/>
    <n v="22963"/>
    <x v="165"/>
    <n v="48"/>
    <x v="22"/>
    <d v="1899-12-30T10:19:00"/>
    <n v="0.72"/>
    <n v="17511"/>
    <x v="0"/>
    <x v="0"/>
    <n v="34.56"/>
  </r>
  <r>
    <n v="536390"/>
    <n v="22968"/>
    <x v="166"/>
    <n v="8"/>
    <x v="22"/>
    <d v="1899-12-30T10:19:00"/>
    <n v="8.5"/>
    <n v="17511"/>
    <x v="0"/>
    <x v="0"/>
    <n v="68"/>
  </r>
  <r>
    <n v="536390"/>
    <s v="84970S"/>
    <x v="167"/>
    <n v="144"/>
    <x v="22"/>
    <d v="1899-12-30T10:19:00"/>
    <n v="0.64"/>
    <n v="17511"/>
    <x v="0"/>
    <x v="0"/>
    <n v="92.16"/>
  </r>
  <r>
    <n v="536390"/>
    <n v="22910"/>
    <x v="168"/>
    <n v="40"/>
    <x v="22"/>
    <d v="1899-12-30T10:19:00"/>
    <n v="2.5499999999999998"/>
    <n v="17511"/>
    <x v="0"/>
    <x v="0"/>
    <n v="102"/>
  </r>
  <r>
    <n v="536390"/>
    <n v="20668"/>
    <x v="169"/>
    <n v="288"/>
    <x v="22"/>
    <d v="1899-12-30T10:19:00"/>
    <n v="0.1"/>
    <n v="17511"/>
    <x v="0"/>
    <x v="0"/>
    <n v="28.8"/>
  </r>
  <r>
    <n v="536390"/>
    <s v="85123A"/>
    <x v="0"/>
    <n v="64"/>
    <x v="22"/>
    <d v="1899-12-30T10:19:00"/>
    <n v="2.5499999999999998"/>
    <n v="17511"/>
    <x v="0"/>
    <x v="0"/>
    <n v="163.19999999999999"/>
  </r>
  <r>
    <n v="536390"/>
    <n v="22197"/>
    <x v="170"/>
    <n v="100"/>
    <x v="22"/>
    <d v="1899-12-30T10:19:00"/>
    <n v="0.72"/>
    <n v="17511"/>
    <x v="0"/>
    <x v="0"/>
    <n v="72"/>
  </r>
  <r>
    <n v="536390"/>
    <n v="22198"/>
    <x v="171"/>
    <n v="50"/>
    <x v="22"/>
    <d v="1899-12-30T10:19:00"/>
    <n v="1.45"/>
    <n v="17511"/>
    <x v="0"/>
    <x v="0"/>
    <n v="72.5"/>
  </r>
  <r>
    <n v="536390"/>
    <n v="21533"/>
    <x v="101"/>
    <n v="12"/>
    <x v="22"/>
    <d v="1899-12-30T10:19:00"/>
    <n v="4.25"/>
    <n v="17511"/>
    <x v="0"/>
    <x v="0"/>
    <n v="51"/>
  </r>
  <r>
    <n v="536390"/>
    <n v="21080"/>
    <x v="172"/>
    <n v="96"/>
    <x v="22"/>
    <d v="1899-12-30T10:19:00"/>
    <n v="0.64"/>
    <n v="17511"/>
    <x v="0"/>
    <x v="0"/>
    <n v="61.44"/>
  </r>
  <r>
    <n v="536390"/>
    <n v="21094"/>
    <x v="65"/>
    <n v="96"/>
    <x v="22"/>
    <d v="1899-12-30T10:19:00"/>
    <n v="0.64"/>
    <n v="17511"/>
    <x v="0"/>
    <x v="0"/>
    <n v="61.44"/>
  </r>
  <r>
    <n v="536390"/>
    <n v="21086"/>
    <x v="173"/>
    <n v="48"/>
    <x v="22"/>
    <d v="1899-12-30T10:19:00"/>
    <n v="0.65"/>
    <n v="17511"/>
    <x v="0"/>
    <x v="0"/>
    <n v="31.200000000000003"/>
  </r>
  <r>
    <n v="536390"/>
    <n v="21786"/>
    <x v="174"/>
    <n v="144"/>
    <x v="22"/>
    <d v="1899-12-30T10:19:00"/>
    <n v="0.32"/>
    <n v="17511"/>
    <x v="0"/>
    <x v="0"/>
    <n v="46.08"/>
  </r>
  <r>
    <n v="536390"/>
    <n v="22654"/>
    <x v="175"/>
    <n v="40"/>
    <x v="22"/>
    <d v="1899-12-30T10:19:00"/>
    <n v="4.95"/>
    <n v="17511"/>
    <x v="0"/>
    <x v="0"/>
    <n v="198"/>
  </r>
  <r>
    <n v="536390"/>
    <n v="21485"/>
    <x v="176"/>
    <n v="24"/>
    <x v="22"/>
    <d v="1899-12-30T10:19:00"/>
    <n v="4.25"/>
    <n v="17511"/>
    <x v="0"/>
    <x v="0"/>
    <n v="102"/>
  </r>
  <r>
    <n v="536390"/>
    <s v="84029G"/>
    <x v="3"/>
    <n v="24"/>
    <x v="22"/>
    <d v="1899-12-30T10:19:00"/>
    <n v="3.39"/>
    <n v="17511"/>
    <x v="0"/>
    <x v="0"/>
    <n v="81.36"/>
  </r>
  <r>
    <n v="536390"/>
    <s v="84030E"/>
    <x v="177"/>
    <n v="24"/>
    <x v="22"/>
    <d v="1899-12-30T10:19:00"/>
    <n v="3.75"/>
    <n v="17511"/>
    <x v="0"/>
    <x v="0"/>
    <n v="90"/>
  </r>
  <r>
    <n v="536390"/>
    <n v="22174"/>
    <x v="178"/>
    <n v="48"/>
    <x v="22"/>
    <d v="1899-12-30T10:19:00"/>
    <n v="1.48"/>
    <n v="17511"/>
    <x v="0"/>
    <x v="0"/>
    <n v="71.039999999999992"/>
  </r>
  <r>
    <n v="536390"/>
    <n v="22969"/>
    <x v="150"/>
    <n v="96"/>
    <x v="22"/>
    <d v="1899-12-30T10:19:00"/>
    <n v="1.25"/>
    <n v="17511"/>
    <x v="0"/>
    <x v="0"/>
    <n v="120"/>
  </r>
  <r>
    <n v="536390"/>
    <s v="85099B"/>
    <x v="140"/>
    <n v="100"/>
    <x v="22"/>
    <d v="1899-12-30T10:19:00"/>
    <n v="1.65"/>
    <n v="17511"/>
    <x v="0"/>
    <x v="0"/>
    <n v="165"/>
  </r>
  <r>
    <s v="C536391"/>
    <n v="22556"/>
    <x v="179"/>
    <n v="-12"/>
    <x v="23"/>
    <d v="1899-12-30T10:24:00"/>
    <n v="1.65"/>
    <n v="17548"/>
    <x v="0"/>
    <x v="1"/>
    <n v="-19.799999999999997"/>
  </r>
  <r>
    <s v="C536391"/>
    <n v="21984"/>
    <x v="180"/>
    <n v="-24"/>
    <x v="23"/>
    <d v="1899-12-30T10:24:00"/>
    <n v="0.28999999999999998"/>
    <n v="17548"/>
    <x v="0"/>
    <x v="1"/>
    <n v="-6.9599999999999991"/>
  </r>
  <r>
    <s v="C536391"/>
    <n v="21983"/>
    <x v="181"/>
    <n v="-24"/>
    <x v="23"/>
    <d v="1899-12-30T10:24:00"/>
    <n v="0.28999999999999998"/>
    <n v="17548"/>
    <x v="0"/>
    <x v="1"/>
    <n v="-6.9599999999999991"/>
  </r>
  <r>
    <s v="C536391"/>
    <n v="21980"/>
    <x v="182"/>
    <n v="-24"/>
    <x v="23"/>
    <d v="1899-12-30T10:24:00"/>
    <n v="0.28999999999999998"/>
    <n v="17548"/>
    <x v="0"/>
    <x v="1"/>
    <n v="-6.9599999999999991"/>
  </r>
  <r>
    <s v="C536391"/>
    <n v="21484"/>
    <x v="183"/>
    <n v="-12"/>
    <x v="23"/>
    <d v="1899-12-30T10:24:00"/>
    <n v="3.45"/>
    <n v="17548"/>
    <x v="0"/>
    <x v="1"/>
    <n v="-41.400000000000006"/>
  </r>
  <r>
    <s v="C536391"/>
    <n v="22557"/>
    <x v="184"/>
    <n v="-12"/>
    <x v="23"/>
    <d v="1899-12-30T10:24:00"/>
    <n v="1.65"/>
    <n v="17548"/>
    <x v="0"/>
    <x v="1"/>
    <n v="-19.799999999999997"/>
  </r>
  <r>
    <s v="C536391"/>
    <n v="22553"/>
    <x v="185"/>
    <n v="-24"/>
    <x v="23"/>
    <d v="1899-12-30T10:24:00"/>
    <n v="1.65"/>
    <n v="17548"/>
    <x v="0"/>
    <x v="1"/>
    <n v="-39.599999999999994"/>
  </r>
  <r>
    <n v="536392"/>
    <n v="22150"/>
    <x v="186"/>
    <n v="6"/>
    <x v="24"/>
    <d v="1899-12-30T10:29:00"/>
    <n v="1.95"/>
    <n v="13705"/>
    <x v="0"/>
    <x v="0"/>
    <n v="11.7"/>
  </r>
  <r>
    <n v="536392"/>
    <n v="22619"/>
    <x v="187"/>
    <n v="4"/>
    <x v="24"/>
    <d v="1899-12-30T10:29:00"/>
    <n v="3.75"/>
    <n v="13705"/>
    <x v="0"/>
    <x v="0"/>
    <n v="15"/>
  </r>
  <r>
    <n v="536392"/>
    <n v="21891"/>
    <x v="188"/>
    <n v="12"/>
    <x v="24"/>
    <d v="1899-12-30T10:29:00"/>
    <n v="1.25"/>
    <n v="13705"/>
    <x v="0"/>
    <x v="0"/>
    <n v="15"/>
  </r>
  <r>
    <n v="536392"/>
    <n v="21889"/>
    <x v="189"/>
    <n v="12"/>
    <x v="24"/>
    <d v="1899-12-30T10:29:00"/>
    <n v="1.25"/>
    <n v="13705"/>
    <x v="0"/>
    <x v="0"/>
    <n v="15"/>
  </r>
  <r>
    <n v="536392"/>
    <n v="22827"/>
    <x v="190"/>
    <n v="1"/>
    <x v="24"/>
    <d v="1899-12-30T10:29:00"/>
    <n v="165"/>
    <n v="13705"/>
    <x v="0"/>
    <x v="0"/>
    <n v="165"/>
  </r>
  <r>
    <n v="536392"/>
    <n v="22127"/>
    <x v="191"/>
    <n v="12"/>
    <x v="24"/>
    <d v="1899-12-30T10:29:00"/>
    <n v="1.25"/>
    <n v="13705"/>
    <x v="0"/>
    <x v="0"/>
    <n v="15"/>
  </r>
  <r>
    <n v="536392"/>
    <n v="22128"/>
    <x v="192"/>
    <n v="12"/>
    <x v="24"/>
    <d v="1899-12-30T10:29:00"/>
    <n v="1.25"/>
    <n v="13705"/>
    <x v="0"/>
    <x v="0"/>
    <n v="15"/>
  </r>
  <r>
    <n v="536392"/>
    <n v="22502"/>
    <x v="193"/>
    <n v="4"/>
    <x v="24"/>
    <d v="1899-12-30T10:29:00"/>
    <n v="5.95"/>
    <n v="13705"/>
    <x v="0"/>
    <x v="0"/>
    <n v="23.8"/>
  </r>
  <r>
    <n v="536392"/>
    <n v="84879"/>
    <x v="9"/>
    <n v="16"/>
    <x v="24"/>
    <d v="1899-12-30T10:29:00"/>
    <n v="1.69"/>
    <n v="13705"/>
    <x v="0"/>
    <x v="0"/>
    <n v="27.04"/>
  </r>
  <r>
    <n v="536392"/>
    <n v="22338"/>
    <x v="194"/>
    <n v="24"/>
    <x v="24"/>
    <d v="1899-12-30T10:29:00"/>
    <n v="0.65"/>
    <n v="13705"/>
    <x v="0"/>
    <x v="0"/>
    <n v="15.600000000000001"/>
  </r>
  <r>
    <n v="536393"/>
    <n v="22180"/>
    <x v="195"/>
    <n v="8"/>
    <x v="25"/>
    <d v="1899-12-30T10:37:00"/>
    <n v="9.9499999999999993"/>
    <n v="13747"/>
    <x v="0"/>
    <x v="0"/>
    <n v="79.599999999999994"/>
  </r>
  <r>
    <n v="536394"/>
    <n v="21506"/>
    <x v="196"/>
    <n v="24"/>
    <x v="26"/>
    <d v="1899-12-30T10:39:00"/>
    <n v="0.42"/>
    <n v="13408"/>
    <x v="0"/>
    <x v="0"/>
    <n v="10.08"/>
  </r>
  <r>
    <n v="536394"/>
    <n v="22633"/>
    <x v="7"/>
    <n v="96"/>
    <x v="26"/>
    <d v="1899-12-30T10:39:00"/>
    <n v="1.85"/>
    <n v="13408"/>
    <x v="0"/>
    <x v="0"/>
    <n v="177.60000000000002"/>
  </r>
  <r>
    <n v="536394"/>
    <n v="22866"/>
    <x v="197"/>
    <n v="96"/>
    <x v="26"/>
    <d v="1899-12-30T10:39:00"/>
    <n v="1.85"/>
    <n v="13408"/>
    <x v="0"/>
    <x v="0"/>
    <n v="177.60000000000002"/>
  </r>
  <r>
    <n v="536394"/>
    <n v="22865"/>
    <x v="198"/>
    <n v="96"/>
    <x v="26"/>
    <d v="1899-12-30T10:39:00"/>
    <n v="1.85"/>
    <n v="13408"/>
    <x v="0"/>
    <x v="0"/>
    <n v="177.60000000000002"/>
  </r>
  <r>
    <n v="536394"/>
    <n v="22632"/>
    <x v="199"/>
    <n v="96"/>
    <x v="26"/>
    <d v="1899-12-30T10:39:00"/>
    <n v="1.85"/>
    <n v="13408"/>
    <x v="0"/>
    <x v="0"/>
    <n v="177.60000000000002"/>
  </r>
  <r>
    <n v="536394"/>
    <n v="21485"/>
    <x v="176"/>
    <n v="12"/>
    <x v="26"/>
    <d v="1899-12-30T10:39:00"/>
    <n v="4.95"/>
    <n v="13408"/>
    <x v="0"/>
    <x v="0"/>
    <n v="59.400000000000006"/>
  </r>
  <r>
    <n v="536394"/>
    <n v="22349"/>
    <x v="200"/>
    <n v="12"/>
    <x v="26"/>
    <d v="1899-12-30T10:39:00"/>
    <n v="3.75"/>
    <n v="13408"/>
    <x v="0"/>
    <x v="0"/>
    <n v="45"/>
  </r>
  <r>
    <n v="536394"/>
    <n v="22558"/>
    <x v="201"/>
    <n v="48"/>
    <x v="26"/>
    <d v="1899-12-30T10:39:00"/>
    <n v="1.25"/>
    <n v="13408"/>
    <x v="0"/>
    <x v="0"/>
    <n v="60"/>
  </r>
  <r>
    <n v="536394"/>
    <n v="85152"/>
    <x v="202"/>
    <n v="12"/>
    <x v="26"/>
    <d v="1899-12-30T10:39:00"/>
    <n v="2.1"/>
    <n v="13408"/>
    <x v="0"/>
    <x v="0"/>
    <n v="25.200000000000003"/>
  </r>
  <r>
    <n v="536394"/>
    <s v="85123A"/>
    <x v="0"/>
    <n v="32"/>
    <x v="26"/>
    <d v="1899-12-30T10:39:00"/>
    <n v="2.5499999999999998"/>
    <n v="13408"/>
    <x v="0"/>
    <x v="0"/>
    <n v="81.599999999999994"/>
  </r>
  <r>
    <n v="536394"/>
    <n v="22652"/>
    <x v="203"/>
    <n v="20"/>
    <x v="26"/>
    <d v="1899-12-30T10:39:00"/>
    <n v="1.65"/>
    <n v="13408"/>
    <x v="0"/>
    <x v="0"/>
    <n v="33"/>
  </r>
  <r>
    <n v="536395"/>
    <n v="22188"/>
    <x v="204"/>
    <n v="8"/>
    <x v="27"/>
    <d v="1899-12-30T10:47:00"/>
    <n v="3.95"/>
    <n v="13767"/>
    <x v="0"/>
    <x v="0"/>
    <n v="31.6"/>
  </r>
  <r>
    <n v="536395"/>
    <n v="84879"/>
    <x v="9"/>
    <n v="32"/>
    <x v="27"/>
    <d v="1899-12-30T10:47:00"/>
    <n v="1.69"/>
    <n v="13767"/>
    <x v="0"/>
    <x v="0"/>
    <n v="54.08"/>
  </r>
  <r>
    <n v="536395"/>
    <n v="21977"/>
    <x v="71"/>
    <n v="24"/>
    <x v="27"/>
    <d v="1899-12-30T10:47:00"/>
    <n v="0.55000000000000004"/>
    <n v="13767"/>
    <x v="0"/>
    <x v="0"/>
    <n v="13.200000000000001"/>
  </r>
  <r>
    <n v="536395"/>
    <n v="84991"/>
    <x v="72"/>
    <n v="24"/>
    <x v="27"/>
    <d v="1899-12-30T10:47:00"/>
    <n v="0.55000000000000004"/>
    <n v="13767"/>
    <x v="0"/>
    <x v="0"/>
    <n v="13.200000000000001"/>
  </r>
  <r>
    <n v="536395"/>
    <n v="21212"/>
    <x v="69"/>
    <n v="24"/>
    <x v="27"/>
    <d v="1899-12-30T10:47:00"/>
    <n v="0.55000000000000004"/>
    <n v="13767"/>
    <x v="0"/>
    <x v="0"/>
    <n v="13.200000000000001"/>
  </r>
  <r>
    <n v="536395"/>
    <n v="21484"/>
    <x v="183"/>
    <n v="8"/>
    <x v="27"/>
    <d v="1899-12-30T10:47:00"/>
    <n v="3.45"/>
    <n v="13767"/>
    <x v="0"/>
    <x v="0"/>
    <n v="27.6"/>
  </r>
  <r>
    <n v="536395"/>
    <n v="21314"/>
    <x v="205"/>
    <n v="8"/>
    <x v="27"/>
    <d v="1899-12-30T10:47:00"/>
    <n v="2.1"/>
    <n v="13767"/>
    <x v="0"/>
    <x v="0"/>
    <n v="16.8"/>
  </r>
  <r>
    <n v="536395"/>
    <n v="22730"/>
    <x v="206"/>
    <n v="4"/>
    <x v="27"/>
    <d v="1899-12-30T10:47:00"/>
    <n v="3.75"/>
    <n v="13767"/>
    <x v="0"/>
    <x v="0"/>
    <n v="15"/>
  </r>
  <r>
    <n v="536395"/>
    <n v="22727"/>
    <x v="27"/>
    <n v="8"/>
    <x v="27"/>
    <d v="1899-12-30T10:47:00"/>
    <n v="3.75"/>
    <n v="13767"/>
    <x v="0"/>
    <x v="0"/>
    <n v="30"/>
  </r>
  <r>
    <n v="536395"/>
    <n v="22729"/>
    <x v="207"/>
    <n v="8"/>
    <x v="27"/>
    <d v="1899-12-30T10:47:00"/>
    <n v="3.75"/>
    <n v="13767"/>
    <x v="0"/>
    <x v="0"/>
    <n v="30"/>
  </r>
  <r>
    <n v="536395"/>
    <n v="22726"/>
    <x v="28"/>
    <n v="8"/>
    <x v="27"/>
    <d v="1899-12-30T10:47:00"/>
    <n v="3.75"/>
    <n v="13767"/>
    <x v="0"/>
    <x v="0"/>
    <n v="30"/>
  </r>
  <r>
    <n v="536395"/>
    <n v="22114"/>
    <x v="57"/>
    <n v="8"/>
    <x v="27"/>
    <d v="1899-12-30T10:47:00"/>
    <n v="3.95"/>
    <n v="13767"/>
    <x v="0"/>
    <x v="0"/>
    <n v="31.6"/>
  </r>
  <r>
    <n v="536395"/>
    <n v="22867"/>
    <x v="208"/>
    <n v="48"/>
    <x v="27"/>
    <d v="1899-12-30T10:47:00"/>
    <n v="2.1"/>
    <n v="13767"/>
    <x v="0"/>
    <x v="0"/>
    <n v="100.80000000000001"/>
  </r>
  <r>
    <n v="536395"/>
    <n v="22866"/>
    <x v="197"/>
    <n v="48"/>
    <x v="27"/>
    <d v="1899-12-30T10:47:00"/>
    <n v="2.1"/>
    <n v="13767"/>
    <x v="0"/>
    <x v="0"/>
    <n v="100.80000000000001"/>
  </r>
  <r>
    <n v="536396"/>
    <s v="85123A"/>
    <x v="0"/>
    <n v="6"/>
    <x v="28"/>
    <d v="1899-12-30T10:51:00"/>
    <n v="2.5499999999999998"/>
    <n v="17850"/>
    <x v="0"/>
    <x v="0"/>
    <n v="15.299999999999999"/>
  </r>
  <r>
    <n v="536396"/>
    <n v="71053"/>
    <x v="1"/>
    <n v="6"/>
    <x v="28"/>
    <d v="1899-12-30T10:51:00"/>
    <n v="3.39"/>
    <n v="17850"/>
    <x v="0"/>
    <x v="0"/>
    <n v="20.34"/>
  </r>
  <r>
    <n v="536396"/>
    <s v="84406B"/>
    <x v="2"/>
    <n v="8"/>
    <x v="28"/>
    <d v="1899-12-30T10:51:00"/>
    <n v="2.75"/>
    <n v="17850"/>
    <x v="0"/>
    <x v="0"/>
    <n v="22"/>
  </r>
  <r>
    <n v="536396"/>
    <s v="15056BL"/>
    <x v="103"/>
    <n v="6"/>
    <x v="28"/>
    <d v="1899-12-30T10:51:00"/>
    <n v="4.95"/>
    <n v="17850"/>
    <x v="0"/>
    <x v="0"/>
    <n v="29.700000000000003"/>
  </r>
  <r>
    <n v="536396"/>
    <n v="20679"/>
    <x v="47"/>
    <n v="6"/>
    <x v="28"/>
    <d v="1899-12-30T10:51:00"/>
    <n v="4.95"/>
    <n v="17850"/>
    <x v="0"/>
    <x v="0"/>
    <n v="29.700000000000003"/>
  </r>
  <r>
    <n v="536396"/>
    <n v="37370"/>
    <x v="48"/>
    <n v="6"/>
    <x v="28"/>
    <d v="1899-12-30T10:51:00"/>
    <n v="1.06"/>
    <n v="17850"/>
    <x v="0"/>
    <x v="0"/>
    <n v="6.36"/>
  </r>
  <r>
    <n v="536396"/>
    <n v="21871"/>
    <x v="49"/>
    <n v="6"/>
    <x v="28"/>
    <d v="1899-12-30T10:51:00"/>
    <n v="1.06"/>
    <n v="17850"/>
    <x v="0"/>
    <x v="0"/>
    <n v="6.36"/>
  </r>
  <r>
    <n v="536396"/>
    <n v="21071"/>
    <x v="50"/>
    <n v="6"/>
    <x v="28"/>
    <d v="1899-12-30T10:51:00"/>
    <n v="1.06"/>
    <n v="17850"/>
    <x v="0"/>
    <x v="0"/>
    <n v="6.36"/>
  </r>
  <r>
    <n v="536396"/>
    <n v="21068"/>
    <x v="51"/>
    <n v="6"/>
    <x v="28"/>
    <d v="1899-12-30T10:51:00"/>
    <n v="1.06"/>
    <n v="17850"/>
    <x v="0"/>
    <x v="0"/>
    <n v="6.36"/>
  </r>
  <r>
    <n v="536396"/>
    <n v="82483"/>
    <x v="52"/>
    <n v="2"/>
    <x v="28"/>
    <d v="1899-12-30T10:51:00"/>
    <n v="4.95"/>
    <n v="17850"/>
    <x v="0"/>
    <x v="0"/>
    <n v="9.9"/>
  </r>
  <r>
    <n v="536396"/>
    <n v="82486"/>
    <x v="53"/>
    <n v="4"/>
    <x v="28"/>
    <d v="1899-12-30T10:51:00"/>
    <n v="6.95"/>
    <n v="17850"/>
    <x v="0"/>
    <x v="0"/>
    <n v="27.8"/>
  </r>
  <r>
    <n v="536396"/>
    <n v="82482"/>
    <x v="54"/>
    <n v="6"/>
    <x v="28"/>
    <d v="1899-12-30T10:51:00"/>
    <n v="2.1"/>
    <n v="17850"/>
    <x v="0"/>
    <x v="0"/>
    <n v="12.600000000000001"/>
  </r>
  <r>
    <n v="536396"/>
    <s v="82494L"/>
    <x v="55"/>
    <n v="12"/>
    <x v="28"/>
    <d v="1899-12-30T10:51:00"/>
    <n v="2.5499999999999998"/>
    <n v="17850"/>
    <x v="0"/>
    <x v="0"/>
    <n v="30.599999999999998"/>
  </r>
  <r>
    <n v="536396"/>
    <s v="84029G"/>
    <x v="3"/>
    <n v="6"/>
    <x v="28"/>
    <d v="1899-12-30T10:51:00"/>
    <n v="3.39"/>
    <n v="17850"/>
    <x v="0"/>
    <x v="0"/>
    <n v="20.34"/>
  </r>
  <r>
    <n v="536396"/>
    <s v="84029E"/>
    <x v="4"/>
    <n v="6"/>
    <x v="28"/>
    <d v="1899-12-30T10:51:00"/>
    <n v="3.39"/>
    <n v="17850"/>
    <x v="0"/>
    <x v="0"/>
    <n v="20.34"/>
  </r>
  <r>
    <n v="536396"/>
    <n v="22752"/>
    <x v="5"/>
    <n v="2"/>
    <x v="28"/>
    <d v="1899-12-30T10:51:00"/>
    <n v="7.65"/>
    <n v="17850"/>
    <x v="0"/>
    <x v="0"/>
    <n v="15.3"/>
  </r>
  <r>
    <n v="536396"/>
    <n v="22803"/>
    <x v="209"/>
    <n v="2"/>
    <x v="28"/>
    <d v="1899-12-30T10:51:00"/>
    <n v="35.75"/>
    <n v="17850"/>
    <x v="0"/>
    <x v="0"/>
    <n v="71.5"/>
  </r>
  <r>
    <n v="536396"/>
    <n v="21730"/>
    <x v="6"/>
    <n v="6"/>
    <x v="28"/>
    <d v="1899-12-30T10:51:00"/>
    <n v="4.25"/>
    <n v="17850"/>
    <x v="0"/>
    <x v="0"/>
    <n v="25.5"/>
  </r>
  <r>
    <n v="536397"/>
    <s v="35004B"/>
    <x v="210"/>
    <n v="12"/>
    <x v="28"/>
    <d v="1899-12-30T10:51:00"/>
    <n v="4.6500000000000004"/>
    <n v="17924"/>
    <x v="0"/>
    <x v="0"/>
    <n v="55.800000000000004"/>
  </r>
  <r>
    <n v="536397"/>
    <s v="35004C"/>
    <x v="121"/>
    <n v="48"/>
    <x v="28"/>
    <d v="1899-12-30T10:51:00"/>
    <n v="4.6500000000000004"/>
    <n v="17924"/>
    <x v="0"/>
    <x v="0"/>
    <n v="223.20000000000002"/>
  </r>
  <r>
    <n v="536398"/>
    <n v="21980"/>
    <x v="182"/>
    <n v="24"/>
    <x v="29"/>
    <d v="1899-12-30T10:52:00"/>
    <n v="0.28999999999999998"/>
    <n v="13448"/>
    <x v="0"/>
    <x v="0"/>
    <n v="6.9599999999999991"/>
  </r>
  <r>
    <n v="536398"/>
    <n v="21844"/>
    <x v="211"/>
    <n v="6"/>
    <x v="29"/>
    <d v="1899-12-30T10:52:00"/>
    <n v="2.95"/>
    <n v="13448"/>
    <x v="0"/>
    <x v="0"/>
    <n v="17.700000000000003"/>
  </r>
  <r>
    <n v="536398"/>
    <n v="22468"/>
    <x v="212"/>
    <n v="4"/>
    <x v="29"/>
    <d v="1899-12-30T10:52:00"/>
    <n v="6.75"/>
    <n v="13448"/>
    <x v="0"/>
    <x v="0"/>
    <n v="27"/>
  </r>
  <r>
    <n v="536398"/>
    <n v="22637"/>
    <x v="88"/>
    <n v="8"/>
    <x v="29"/>
    <d v="1899-12-30T10:52:00"/>
    <n v="2.5499999999999998"/>
    <n v="13448"/>
    <x v="0"/>
    <x v="0"/>
    <n v="20.399999999999999"/>
  </r>
  <r>
    <n v="536398"/>
    <n v="22752"/>
    <x v="5"/>
    <n v="6"/>
    <x v="29"/>
    <d v="1899-12-30T10:52:00"/>
    <n v="8.5"/>
    <n v="13448"/>
    <x v="0"/>
    <x v="0"/>
    <n v="51"/>
  </r>
  <r>
    <n v="536398"/>
    <n v="48185"/>
    <x v="213"/>
    <n v="2"/>
    <x v="29"/>
    <d v="1899-12-30T10:52:00"/>
    <n v="7.95"/>
    <n v="13448"/>
    <x v="0"/>
    <x v="0"/>
    <n v="15.9"/>
  </r>
  <r>
    <n v="536398"/>
    <n v="22632"/>
    <x v="199"/>
    <n v="12"/>
    <x v="29"/>
    <d v="1899-12-30T10:52:00"/>
    <n v="2.1"/>
    <n v="13448"/>
    <x v="0"/>
    <x v="0"/>
    <n v="25.200000000000003"/>
  </r>
  <r>
    <n v="536398"/>
    <n v="22866"/>
    <x v="197"/>
    <n v="12"/>
    <x v="29"/>
    <d v="1899-12-30T10:52:00"/>
    <n v="2.1"/>
    <n v="13448"/>
    <x v="0"/>
    <x v="0"/>
    <n v="25.200000000000003"/>
  </r>
  <r>
    <n v="536398"/>
    <n v="22865"/>
    <x v="198"/>
    <n v="12"/>
    <x v="29"/>
    <d v="1899-12-30T10:52:00"/>
    <n v="2.1"/>
    <n v="13448"/>
    <x v="0"/>
    <x v="0"/>
    <n v="25.200000000000003"/>
  </r>
  <r>
    <n v="536398"/>
    <n v="21232"/>
    <x v="214"/>
    <n v="12"/>
    <x v="29"/>
    <d v="1899-12-30T10:52:00"/>
    <n v="1.25"/>
    <n v="13448"/>
    <x v="0"/>
    <x v="0"/>
    <n v="15"/>
  </r>
  <r>
    <n v="536398"/>
    <n v="22064"/>
    <x v="215"/>
    <n v="12"/>
    <x v="29"/>
    <d v="1899-12-30T10:52:00"/>
    <n v="1.65"/>
    <n v="13448"/>
    <x v="0"/>
    <x v="0"/>
    <n v="19.799999999999997"/>
  </r>
  <r>
    <n v="536398"/>
    <n v="22449"/>
    <x v="216"/>
    <n v="6"/>
    <x v="29"/>
    <d v="1899-12-30T10:52:00"/>
    <n v="3.35"/>
    <n v="13448"/>
    <x v="0"/>
    <x v="0"/>
    <n v="20.100000000000001"/>
  </r>
  <r>
    <n v="536398"/>
    <n v="22114"/>
    <x v="57"/>
    <n v="4"/>
    <x v="29"/>
    <d v="1899-12-30T10:52:00"/>
    <n v="3.95"/>
    <n v="13448"/>
    <x v="0"/>
    <x v="0"/>
    <n v="15.8"/>
  </r>
  <r>
    <n v="536398"/>
    <n v="22835"/>
    <x v="217"/>
    <n v="8"/>
    <x v="29"/>
    <d v="1899-12-30T10:52:00"/>
    <n v="4.6500000000000004"/>
    <n v="13448"/>
    <x v="0"/>
    <x v="0"/>
    <n v="37.200000000000003"/>
  </r>
  <r>
    <n v="536398"/>
    <n v="22112"/>
    <x v="218"/>
    <n v="9"/>
    <x v="29"/>
    <d v="1899-12-30T10:52:00"/>
    <n v="4.95"/>
    <n v="13448"/>
    <x v="0"/>
    <x v="0"/>
    <n v="44.550000000000004"/>
  </r>
  <r>
    <n v="536398"/>
    <n v="21479"/>
    <x v="219"/>
    <n v="4"/>
    <x v="29"/>
    <d v="1899-12-30T10:52:00"/>
    <n v="3.75"/>
    <n v="13448"/>
    <x v="0"/>
    <x v="0"/>
    <n v="15"/>
  </r>
  <r>
    <n v="536398"/>
    <n v="22111"/>
    <x v="220"/>
    <n v="9"/>
    <x v="29"/>
    <d v="1899-12-30T10:52:00"/>
    <n v="4.95"/>
    <n v="13448"/>
    <x v="0"/>
    <x v="0"/>
    <n v="44.550000000000004"/>
  </r>
  <r>
    <n v="536399"/>
    <n v="22632"/>
    <x v="8"/>
    <n v="6"/>
    <x v="29"/>
    <d v="1899-12-30T10:52:00"/>
    <n v="1.85"/>
    <n v="17850"/>
    <x v="0"/>
    <x v="0"/>
    <n v="11.100000000000001"/>
  </r>
  <r>
    <n v="536399"/>
    <n v="22633"/>
    <x v="7"/>
    <n v="6"/>
    <x v="29"/>
    <d v="1899-12-30T10:52:00"/>
    <n v="1.85"/>
    <n v="17850"/>
    <x v="0"/>
    <x v="0"/>
    <n v="11.100000000000001"/>
  </r>
  <r>
    <n v="536400"/>
    <n v="22969"/>
    <x v="150"/>
    <n v="12"/>
    <x v="30"/>
    <d v="1899-12-30T10:53:00"/>
    <n v="1.45"/>
    <n v="13448"/>
    <x v="0"/>
    <x v="0"/>
    <n v="17.399999999999999"/>
  </r>
  <r>
    <n v="536401"/>
    <n v="22110"/>
    <x v="221"/>
    <n v="1"/>
    <x v="31"/>
    <d v="1899-12-30T11:21:00"/>
    <n v="2.5499999999999998"/>
    <n v="15862"/>
    <x v="0"/>
    <x v="0"/>
    <n v="2.5499999999999998"/>
  </r>
  <r>
    <n v="536401"/>
    <n v="22098"/>
    <x v="222"/>
    <n v="1"/>
    <x v="31"/>
    <d v="1899-12-30T11:21:00"/>
    <n v="1.25"/>
    <n v="15862"/>
    <x v="0"/>
    <x v="0"/>
    <n v="1.25"/>
  </r>
  <r>
    <n v="536401"/>
    <n v="22100"/>
    <x v="223"/>
    <n v="2"/>
    <x v="31"/>
    <d v="1899-12-30T11:21:00"/>
    <n v="1.25"/>
    <n v="15862"/>
    <x v="0"/>
    <x v="0"/>
    <n v="2.5"/>
  </r>
  <r>
    <n v="536401"/>
    <n v="22766"/>
    <x v="224"/>
    <n v="1"/>
    <x v="31"/>
    <d v="1899-12-30T11:21:00"/>
    <n v="2.95"/>
    <n v="15862"/>
    <x v="0"/>
    <x v="0"/>
    <n v="2.95"/>
  </r>
  <r>
    <n v="536401"/>
    <n v="22451"/>
    <x v="225"/>
    <n v="1"/>
    <x v="31"/>
    <d v="1899-12-30T11:21:00"/>
    <n v="3.35"/>
    <n v="15862"/>
    <x v="0"/>
    <x v="0"/>
    <n v="3.35"/>
  </r>
  <r>
    <n v="536401"/>
    <n v="22549"/>
    <x v="226"/>
    <n v="1"/>
    <x v="31"/>
    <d v="1899-12-30T11:21:00"/>
    <n v="1.45"/>
    <n v="15862"/>
    <x v="0"/>
    <x v="0"/>
    <n v="1.45"/>
  </r>
  <r>
    <n v="536401"/>
    <n v="84744"/>
    <x v="227"/>
    <n v="1"/>
    <x v="31"/>
    <d v="1899-12-30T11:21:00"/>
    <n v="1.25"/>
    <n v="15862"/>
    <x v="0"/>
    <x v="0"/>
    <n v="1.25"/>
  </r>
  <r>
    <n v="536401"/>
    <s v="85049E"/>
    <x v="228"/>
    <n v="2"/>
    <x v="31"/>
    <d v="1899-12-30T11:21:00"/>
    <n v="1.25"/>
    <n v="15862"/>
    <x v="0"/>
    <x v="0"/>
    <n v="2.5"/>
  </r>
  <r>
    <n v="536401"/>
    <n v="21328"/>
    <x v="229"/>
    <n v="1"/>
    <x v="31"/>
    <d v="1899-12-30T11:21:00"/>
    <n v="1.65"/>
    <n v="15862"/>
    <x v="0"/>
    <x v="0"/>
    <n v="1.65"/>
  </r>
  <r>
    <n v="536401"/>
    <n v="22961"/>
    <x v="78"/>
    <n v="4"/>
    <x v="31"/>
    <d v="1899-12-30T11:21:00"/>
    <n v="1.45"/>
    <n v="15862"/>
    <x v="0"/>
    <x v="0"/>
    <n v="5.8"/>
  </r>
  <r>
    <n v="536401"/>
    <s v="17091A"/>
    <x v="230"/>
    <n v="1"/>
    <x v="31"/>
    <d v="1899-12-30T11:21:00"/>
    <n v="1.25"/>
    <n v="15862"/>
    <x v="0"/>
    <x v="0"/>
    <n v="1.25"/>
  </r>
  <r>
    <n v="536401"/>
    <n v="22473"/>
    <x v="231"/>
    <n v="1"/>
    <x v="31"/>
    <d v="1899-12-30T11:21:00"/>
    <n v="4.95"/>
    <n v="15862"/>
    <x v="0"/>
    <x v="0"/>
    <n v="4.95"/>
  </r>
  <r>
    <n v="536401"/>
    <s v="84509A"/>
    <x v="232"/>
    <n v="2"/>
    <x v="31"/>
    <d v="1899-12-30T11:21:00"/>
    <n v="3.75"/>
    <n v="15862"/>
    <x v="0"/>
    <x v="0"/>
    <n v="7.5"/>
  </r>
  <r>
    <n v="536401"/>
    <s v="84510A"/>
    <x v="233"/>
    <n v="2"/>
    <x v="31"/>
    <d v="1899-12-30T11:21:00"/>
    <n v="1.25"/>
    <n v="15862"/>
    <x v="0"/>
    <x v="0"/>
    <n v="2.5"/>
  </r>
  <r>
    <n v="536401"/>
    <n v="22767"/>
    <x v="234"/>
    <n v="2"/>
    <x v="31"/>
    <d v="1899-12-30T11:21:00"/>
    <n v="9.9499999999999993"/>
    <n v="15862"/>
    <x v="0"/>
    <x v="0"/>
    <n v="19.899999999999999"/>
  </r>
  <r>
    <n v="536401"/>
    <n v="22768"/>
    <x v="235"/>
    <n v="1"/>
    <x v="31"/>
    <d v="1899-12-30T11:21:00"/>
    <n v="9.9499999999999993"/>
    <n v="15862"/>
    <x v="0"/>
    <x v="0"/>
    <n v="9.9499999999999993"/>
  </r>
  <r>
    <n v="536401"/>
    <n v="21463"/>
    <x v="236"/>
    <n v="1"/>
    <x v="31"/>
    <d v="1899-12-30T11:21:00"/>
    <n v="5.95"/>
    <n v="15862"/>
    <x v="0"/>
    <x v="0"/>
    <n v="5.95"/>
  </r>
  <r>
    <n v="536401"/>
    <n v="21464"/>
    <x v="237"/>
    <n v="1"/>
    <x v="31"/>
    <d v="1899-12-30T11:21:00"/>
    <n v="4.25"/>
    <n v="15862"/>
    <x v="0"/>
    <x v="0"/>
    <n v="4.25"/>
  </r>
  <r>
    <n v="536401"/>
    <n v="20820"/>
    <x v="238"/>
    <n v="3"/>
    <x v="31"/>
    <d v="1899-12-30T11:21:00"/>
    <n v="4.95"/>
    <n v="15862"/>
    <x v="0"/>
    <x v="0"/>
    <n v="14.850000000000001"/>
  </r>
  <r>
    <n v="536401"/>
    <n v="85150"/>
    <x v="239"/>
    <n v="1"/>
    <x v="31"/>
    <d v="1899-12-30T11:21:00"/>
    <n v="2.5499999999999998"/>
    <n v="15862"/>
    <x v="0"/>
    <x v="0"/>
    <n v="2.5499999999999998"/>
  </r>
  <r>
    <n v="536401"/>
    <n v="22117"/>
    <x v="240"/>
    <n v="1"/>
    <x v="31"/>
    <d v="1899-12-30T11:21:00"/>
    <n v="2.95"/>
    <n v="15862"/>
    <x v="0"/>
    <x v="0"/>
    <n v="2.95"/>
  </r>
  <r>
    <n v="536401"/>
    <n v="21169"/>
    <x v="90"/>
    <n v="2"/>
    <x v="31"/>
    <d v="1899-12-30T11:21:00"/>
    <n v="1.69"/>
    <n v="15862"/>
    <x v="0"/>
    <x v="0"/>
    <n v="3.38"/>
  </r>
  <r>
    <n v="536401"/>
    <n v="48129"/>
    <x v="241"/>
    <n v="1"/>
    <x v="31"/>
    <d v="1899-12-30T11:21:00"/>
    <n v="7.95"/>
    <n v="15862"/>
    <x v="0"/>
    <x v="0"/>
    <n v="7.95"/>
  </r>
  <r>
    <n v="536401"/>
    <n v="82580"/>
    <x v="242"/>
    <n v="1"/>
    <x v="31"/>
    <d v="1899-12-30T11:21:00"/>
    <n v="0.55000000000000004"/>
    <n v="15862"/>
    <x v="0"/>
    <x v="0"/>
    <n v="0.55000000000000004"/>
  </r>
  <r>
    <n v="536401"/>
    <n v="82578"/>
    <x v="243"/>
    <n v="1"/>
    <x v="31"/>
    <d v="1899-12-30T11:21:00"/>
    <n v="0.55000000000000004"/>
    <n v="15862"/>
    <x v="0"/>
    <x v="0"/>
    <n v="0.55000000000000004"/>
  </r>
  <r>
    <n v="536401"/>
    <n v="82581"/>
    <x v="244"/>
    <n v="2"/>
    <x v="31"/>
    <d v="1899-12-30T11:21:00"/>
    <n v="0.55000000000000004"/>
    <n v="15862"/>
    <x v="0"/>
    <x v="0"/>
    <n v="1.1000000000000001"/>
  </r>
  <r>
    <n v="536401"/>
    <n v="22413"/>
    <x v="245"/>
    <n v="4"/>
    <x v="31"/>
    <d v="1899-12-30T11:21:00"/>
    <n v="2.95"/>
    <n v="15862"/>
    <x v="0"/>
    <x v="0"/>
    <n v="11.8"/>
  </r>
  <r>
    <n v="536401"/>
    <n v="21907"/>
    <x v="246"/>
    <n v="2"/>
    <x v="31"/>
    <d v="1899-12-30T11:21:00"/>
    <n v="2.1"/>
    <n v="15862"/>
    <x v="0"/>
    <x v="0"/>
    <n v="4.2"/>
  </r>
  <r>
    <n v="536401"/>
    <n v="22441"/>
    <x v="247"/>
    <n v="1"/>
    <x v="31"/>
    <d v="1899-12-30T11:21:00"/>
    <n v="2.1"/>
    <n v="15862"/>
    <x v="0"/>
    <x v="0"/>
    <n v="2.1"/>
  </r>
  <r>
    <n v="536401"/>
    <n v="21122"/>
    <x v="248"/>
    <n v="1"/>
    <x v="31"/>
    <d v="1899-12-30T11:21:00"/>
    <n v="1.25"/>
    <n v="15862"/>
    <x v="0"/>
    <x v="0"/>
    <n v="1.25"/>
  </r>
  <r>
    <n v="536401"/>
    <n v="22851"/>
    <x v="249"/>
    <n v="1"/>
    <x v="31"/>
    <d v="1899-12-30T11:21:00"/>
    <n v="0.85"/>
    <n v="15862"/>
    <x v="0"/>
    <x v="0"/>
    <n v="0.85"/>
  </r>
  <r>
    <n v="536401"/>
    <n v="84991"/>
    <x v="72"/>
    <n v="3"/>
    <x v="31"/>
    <d v="1899-12-30T11:21:00"/>
    <n v="0.55000000000000004"/>
    <n v="15862"/>
    <x v="0"/>
    <x v="0"/>
    <n v="1.6500000000000001"/>
  </r>
  <r>
    <n v="536401"/>
    <n v="22810"/>
    <x v="250"/>
    <n v="1"/>
    <x v="31"/>
    <d v="1899-12-30T11:21:00"/>
    <n v="2.95"/>
    <n v="15862"/>
    <x v="0"/>
    <x v="0"/>
    <n v="2.95"/>
  </r>
  <r>
    <n v="536401"/>
    <n v="22809"/>
    <x v="251"/>
    <n v="1"/>
    <x v="31"/>
    <d v="1899-12-30T11:21:00"/>
    <n v="2.95"/>
    <n v="15862"/>
    <x v="0"/>
    <x v="0"/>
    <n v="2.95"/>
  </r>
  <r>
    <n v="536401"/>
    <n v="22435"/>
    <x v="252"/>
    <n v="2"/>
    <x v="31"/>
    <d v="1899-12-30T11:21:00"/>
    <n v="1.25"/>
    <n v="15862"/>
    <x v="0"/>
    <x v="0"/>
    <n v="2.5"/>
  </r>
  <r>
    <n v="536401"/>
    <n v="20966"/>
    <x v="253"/>
    <n v="3"/>
    <x v="31"/>
    <d v="1899-12-30T11:21:00"/>
    <n v="1.25"/>
    <n v="15862"/>
    <x v="0"/>
    <x v="0"/>
    <n v="3.75"/>
  </r>
  <r>
    <n v="536401"/>
    <n v="20963"/>
    <x v="254"/>
    <n v="1"/>
    <x v="31"/>
    <d v="1899-12-30T11:21:00"/>
    <n v="1.25"/>
    <n v="15862"/>
    <x v="0"/>
    <x v="0"/>
    <n v="1.25"/>
  </r>
  <r>
    <n v="536401"/>
    <n v="20961"/>
    <x v="255"/>
    <n v="1"/>
    <x v="31"/>
    <d v="1899-12-30T11:21:00"/>
    <n v="1.25"/>
    <n v="15862"/>
    <x v="0"/>
    <x v="0"/>
    <n v="1.25"/>
  </r>
  <r>
    <n v="536401"/>
    <n v="22068"/>
    <x v="256"/>
    <n v="2"/>
    <x v="31"/>
    <d v="1899-12-30T11:21:00"/>
    <n v="1.65"/>
    <n v="15862"/>
    <x v="0"/>
    <x v="0"/>
    <n v="3.3"/>
  </r>
  <r>
    <n v="536401"/>
    <n v="21743"/>
    <x v="257"/>
    <n v="2"/>
    <x v="31"/>
    <d v="1899-12-30T11:21:00"/>
    <n v="2.95"/>
    <n v="15862"/>
    <x v="0"/>
    <x v="0"/>
    <n v="5.9"/>
  </r>
  <r>
    <n v="536401"/>
    <n v="21744"/>
    <x v="258"/>
    <n v="2"/>
    <x v="31"/>
    <d v="1899-12-30T11:21:00"/>
    <n v="2.95"/>
    <n v="15862"/>
    <x v="0"/>
    <x v="0"/>
    <n v="5.9"/>
  </r>
  <r>
    <n v="536401"/>
    <s v="84709B"/>
    <x v="259"/>
    <n v="1"/>
    <x v="31"/>
    <d v="1899-12-30T11:21:00"/>
    <n v="5.95"/>
    <n v="15862"/>
    <x v="0"/>
    <x v="0"/>
    <n v="5.95"/>
  </r>
  <r>
    <n v="536401"/>
    <n v="21592"/>
    <x v="260"/>
    <n v="1"/>
    <x v="31"/>
    <d v="1899-12-30T11:21:00"/>
    <n v="1.25"/>
    <n v="15862"/>
    <x v="0"/>
    <x v="0"/>
    <n v="1.25"/>
  </r>
  <r>
    <n v="536401"/>
    <n v="21587"/>
    <x v="261"/>
    <n v="2"/>
    <x v="31"/>
    <d v="1899-12-30T11:21:00"/>
    <n v="2.5499999999999998"/>
    <n v="15862"/>
    <x v="0"/>
    <x v="0"/>
    <n v="5.0999999999999996"/>
  </r>
  <r>
    <n v="536401"/>
    <n v="20992"/>
    <x v="262"/>
    <n v="9"/>
    <x v="31"/>
    <d v="1899-12-30T11:21:00"/>
    <n v="0.85"/>
    <n v="15862"/>
    <x v="0"/>
    <x v="0"/>
    <n v="7.6499999999999995"/>
  </r>
  <r>
    <n v="536401"/>
    <n v="22662"/>
    <x v="138"/>
    <n v="1"/>
    <x v="31"/>
    <d v="1899-12-30T11:21:00"/>
    <n v="1.65"/>
    <n v="15862"/>
    <x v="0"/>
    <x v="0"/>
    <n v="1.65"/>
  </r>
  <r>
    <n v="536401"/>
    <s v="85123A"/>
    <x v="0"/>
    <n v="4"/>
    <x v="31"/>
    <d v="1899-12-30T11:21:00"/>
    <n v="2.95"/>
    <n v="15862"/>
    <x v="0"/>
    <x v="0"/>
    <n v="11.8"/>
  </r>
  <r>
    <n v="536401"/>
    <n v="22804"/>
    <x v="263"/>
    <n v="3"/>
    <x v="31"/>
    <d v="1899-12-30T11:21:00"/>
    <n v="2.95"/>
    <n v="15862"/>
    <x v="0"/>
    <x v="0"/>
    <n v="8.8500000000000014"/>
  </r>
  <r>
    <n v="536401"/>
    <n v="82483"/>
    <x v="52"/>
    <n v="1"/>
    <x v="31"/>
    <d v="1899-12-30T11:21:00"/>
    <n v="5.95"/>
    <n v="15862"/>
    <x v="0"/>
    <x v="0"/>
    <n v="5.95"/>
  </r>
  <r>
    <n v="536401"/>
    <n v="20749"/>
    <x v="264"/>
    <n v="1"/>
    <x v="31"/>
    <d v="1899-12-30T11:21:00"/>
    <n v="7.95"/>
    <n v="15862"/>
    <x v="0"/>
    <x v="0"/>
    <n v="7.95"/>
  </r>
  <r>
    <n v="536401"/>
    <n v="20725"/>
    <x v="66"/>
    <n v="1"/>
    <x v="31"/>
    <d v="1899-12-30T11:21:00"/>
    <n v="1.65"/>
    <n v="15862"/>
    <x v="0"/>
    <x v="0"/>
    <n v="1.65"/>
  </r>
  <r>
    <n v="536401"/>
    <n v="22382"/>
    <x v="265"/>
    <n v="2"/>
    <x v="31"/>
    <d v="1899-12-30T11:21:00"/>
    <n v="1.65"/>
    <n v="15862"/>
    <x v="0"/>
    <x v="0"/>
    <n v="3.3"/>
  </r>
  <r>
    <n v="536401"/>
    <n v="20726"/>
    <x v="266"/>
    <n v="1"/>
    <x v="31"/>
    <d v="1899-12-30T11:21:00"/>
    <n v="1.65"/>
    <n v="15862"/>
    <x v="0"/>
    <x v="0"/>
    <n v="1.65"/>
  </r>
  <r>
    <n v="536401"/>
    <n v="22384"/>
    <x v="267"/>
    <n v="1"/>
    <x v="31"/>
    <d v="1899-12-30T11:21:00"/>
    <n v="1.65"/>
    <n v="15862"/>
    <x v="0"/>
    <x v="0"/>
    <n v="1.65"/>
  </r>
  <r>
    <n v="536401"/>
    <n v="22467"/>
    <x v="268"/>
    <n v="5"/>
    <x v="31"/>
    <d v="1899-12-30T11:21:00"/>
    <n v="2.5499999999999998"/>
    <n v="15862"/>
    <x v="0"/>
    <x v="0"/>
    <n v="12.75"/>
  </r>
  <r>
    <n v="536401"/>
    <s v="84625C"/>
    <x v="269"/>
    <n v="3"/>
    <x v="31"/>
    <d v="1899-12-30T11:21:00"/>
    <n v="2.95"/>
    <n v="15862"/>
    <x v="0"/>
    <x v="0"/>
    <n v="8.8500000000000014"/>
  </r>
  <r>
    <n v="536401"/>
    <s v="84625A"/>
    <x v="270"/>
    <n v="3"/>
    <x v="31"/>
    <d v="1899-12-30T11:21:00"/>
    <n v="2.95"/>
    <n v="15862"/>
    <x v="0"/>
    <x v="0"/>
    <n v="8.8500000000000014"/>
  </r>
  <r>
    <n v="536401"/>
    <n v="21108"/>
    <x v="271"/>
    <n v="9"/>
    <x v="31"/>
    <d v="1899-12-30T11:21:00"/>
    <n v="2.5499999999999998"/>
    <n v="15862"/>
    <x v="0"/>
    <x v="0"/>
    <n v="22.95"/>
  </r>
  <r>
    <n v="536401"/>
    <n v="22848"/>
    <x v="272"/>
    <n v="1"/>
    <x v="31"/>
    <d v="1899-12-30T11:21:00"/>
    <n v="16.95"/>
    <n v="15862"/>
    <x v="0"/>
    <x v="0"/>
    <n v="16.95"/>
  </r>
  <r>
    <n v="536401"/>
    <n v="21033"/>
    <x v="61"/>
    <n v="4"/>
    <x v="31"/>
    <d v="1899-12-30T11:21:00"/>
    <n v="2.95"/>
    <n v="15862"/>
    <x v="0"/>
    <x v="0"/>
    <n v="11.8"/>
  </r>
  <r>
    <n v="536401"/>
    <s v="47570B"/>
    <x v="273"/>
    <n v="1"/>
    <x v="31"/>
    <d v="1899-12-30T11:21:00"/>
    <n v="10.65"/>
    <n v="15862"/>
    <x v="0"/>
    <x v="0"/>
    <n v="10.65"/>
  </r>
  <r>
    <n v="536401"/>
    <s v="84030E"/>
    <x v="177"/>
    <n v="1"/>
    <x v="31"/>
    <d v="1899-12-30T11:21:00"/>
    <n v="4.25"/>
    <n v="15862"/>
    <x v="0"/>
    <x v="0"/>
    <n v="4.25"/>
  </r>
  <r>
    <n v="536401"/>
    <n v="22428"/>
    <x v="133"/>
    <n v="2"/>
    <x v="31"/>
    <d v="1899-12-30T11:21:00"/>
    <n v="6.95"/>
    <n v="15862"/>
    <x v="0"/>
    <x v="0"/>
    <n v="13.9"/>
  </r>
  <r>
    <n v="536401"/>
    <n v="22502"/>
    <x v="193"/>
    <n v="2"/>
    <x v="31"/>
    <d v="1899-12-30T11:21:00"/>
    <n v="5.95"/>
    <n v="15862"/>
    <x v="0"/>
    <x v="0"/>
    <n v="11.9"/>
  </r>
  <r>
    <n v="536402"/>
    <n v="22086"/>
    <x v="46"/>
    <n v="40"/>
    <x v="32"/>
    <d v="1899-12-30T11:22:00"/>
    <n v="2.5499999999999998"/>
    <n v="15513"/>
    <x v="0"/>
    <x v="0"/>
    <n v="102"/>
  </r>
  <r>
    <n v="536402"/>
    <n v="22910"/>
    <x v="168"/>
    <n v="40"/>
    <x v="32"/>
    <d v="1899-12-30T11:22:00"/>
    <n v="2.5499999999999998"/>
    <n v="15513"/>
    <x v="0"/>
    <x v="0"/>
    <n v="102"/>
  </r>
  <r>
    <n v="536402"/>
    <n v="22837"/>
    <x v="274"/>
    <n v="36"/>
    <x v="32"/>
    <d v="1899-12-30T11:22:00"/>
    <n v="4.25"/>
    <n v="15513"/>
    <x v="0"/>
    <x v="0"/>
    <n v="153"/>
  </r>
  <r>
    <n v="536403"/>
    <n v="22867"/>
    <x v="208"/>
    <n v="96"/>
    <x v="33"/>
    <d v="1899-12-30T11:27:00"/>
    <n v="1.85"/>
    <n v="12791"/>
    <x v="3"/>
    <x v="0"/>
    <n v="177.60000000000002"/>
  </r>
  <r>
    <n v="536403"/>
    <s v="POST"/>
    <x v="45"/>
    <n v="1"/>
    <x v="33"/>
    <d v="1899-12-30T11:27:00"/>
    <n v="15"/>
    <n v="12791"/>
    <x v="3"/>
    <x v="0"/>
    <n v="15"/>
  </r>
  <r>
    <n v="536404"/>
    <n v="22297"/>
    <x v="275"/>
    <n v="24"/>
    <x v="34"/>
    <d v="1899-12-30T11:29:00"/>
    <n v="1.25"/>
    <n v="16218"/>
    <x v="0"/>
    <x v="0"/>
    <n v="30"/>
  </r>
  <r>
    <n v="536404"/>
    <n v="22771"/>
    <x v="85"/>
    <n v="12"/>
    <x v="34"/>
    <d v="1899-12-30T11:29:00"/>
    <n v="1.25"/>
    <n v="16218"/>
    <x v="0"/>
    <x v="0"/>
    <n v="15"/>
  </r>
  <r>
    <n v="536404"/>
    <n v="22772"/>
    <x v="276"/>
    <n v="12"/>
    <x v="34"/>
    <d v="1899-12-30T11:29:00"/>
    <n v="1.25"/>
    <n v="16218"/>
    <x v="0"/>
    <x v="0"/>
    <n v="15"/>
  </r>
  <r>
    <n v="536404"/>
    <n v="22773"/>
    <x v="277"/>
    <n v="12"/>
    <x v="34"/>
    <d v="1899-12-30T11:29:00"/>
    <n v="1.25"/>
    <n v="16218"/>
    <x v="0"/>
    <x v="0"/>
    <n v="15"/>
  </r>
  <r>
    <n v="536404"/>
    <n v="22805"/>
    <x v="278"/>
    <n v="12"/>
    <x v="34"/>
    <d v="1899-12-30T11:29:00"/>
    <n v="1.25"/>
    <n v="16218"/>
    <x v="0"/>
    <x v="0"/>
    <n v="15"/>
  </r>
  <r>
    <n v="536404"/>
    <n v="22469"/>
    <x v="127"/>
    <n v="12"/>
    <x v="34"/>
    <d v="1899-12-30T11:29:00"/>
    <n v="1.65"/>
    <n v="16218"/>
    <x v="0"/>
    <x v="0"/>
    <n v="19.799999999999997"/>
  </r>
  <r>
    <n v="536404"/>
    <n v="22197"/>
    <x v="170"/>
    <n v="36"/>
    <x v="34"/>
    <d v="1899-12-30T11:29:00"/>
    <n v="0.85"/>
    <n v="16218"/>
    <x v="0"/>
    <x v="0"/>
    <n v="30.599999999999998"/>
  </r>
  <r>
    <n v="536404"/>
    <n v="21125"/>
    <x v="279"/>
    <n v="12"/>
    <x v="34"/>
    <d v="1899-12-30T11:29:00"/>
    <n v="1.25"/>
    <n v="16218"/>
    <x v="0"/>
    <x v="0"/>
    <n v="15"/>
  </r>
  <r>
    <n v="536404"/>
    <n v="21126"/>
    <x v="280"/>
    <n v="12"/>
    <x v="34"/>
    <d v="1899-12-30T11:29:00"/>
    <n v="1.25"/>
    <n v="16218"/>
    <x v="0"/>
    <x v="0"/>
    <n v="15"/>
  </r>
  <r>
    <n v="536404"/>
    <s v="85049C"/>
    <x v="281"/>
    <n v="12"/>
    <x v="34"/>
    <d v="1899-12-30T11:29:00"/>
    <n v="1.25"/>
    <n v="16218"/>
    <x v="0"/>
    <x v="0"/>
    <n v="15"/>
  </r>
  <r>
    <n v="536404"/>
    <s v="85049D"/>
    <x v="282"/>
    <n v="12"/>
    <x v="34"/>
    <d v="1899-12-30T11:29:00"/>
    <n v="1.25"/>
    <n v="16218"/>
    <x v="0"/>
    <x v="0"/>
    <n v="15"/>
  </r>
  <r>
    <n v="536404"/>
    <s v="85049E"/>
    <x v="228"/>
    <n v="12"/>
    <x v="34"/>
    <d v="1899-12-30T11:29:00"/>
    <n v="1.25"/>
    <n v="16218"/>
    <x v="0"/>
    <x v="0"/>
    <n v="15"/>
  </r>
  <r>
    <n v="536404"/>
    <s v="85049G"/>
    <x v="283"/>
    <n v="12"/>
    <x v="34"/>
    <d v="1899-12-30T11:29:00"/>
    <n v="1.25"/>
    <n v="16218"/>
    <x v="0"/>
    <x v="0"/>
    <n v="15"/>
  </r>
  <r>
    <n v="536404"/>
    <n v="21061"/>
    <x v="284"/>
    <n v="12"/>
    <x v="34"/>
    <d v="1899-12-30T11:29:00"/>
    <n v="0.85"/>
    <n v="16218"/>
    <x v="0"/>
    <x v="0"/>
    <n v="10.199999999999999"/>
  </r>
  <r>
    <n v="536404"/>
    <n v="21063"/>
    <x v="285"/>
    <n v="12"/>
    <x v="34"/>
    <d v="1899-12-30T11:29:00"/>
    <n v="0.85"/>
    <n v="16218"/>
    <x v="0"/>
    <x v="0"/>
    <n v="10.199999999999999"/>
  </r>
  <r>
    <n v="536404"/>
    <n v="21062"/>
    <x v="286"/>
    <n v="12"/>
    <x v="34"/>
    <d v="1899-12-30T11:29:00"/>
    <n v="0.85"/>
    <n v="16218"/>
    <x v="0"/>
    <x v="0"/>
    <n v="10.199999999999999"/>
  </r>
  <r>
    <n v="536404"/>
    <n v="84380"/>
    <x v="287"/>
    <n v="12"/>
    <x v="34"/>
    <d v="1899-12-30T11:29:00"/>
    <n v="1.25"/>
    <n v="16218"/>
    <x v="0"/>
    <x v="0"/>
    <n v="15"/>
  </r>
  <r>
    <n v="536404"/>
    <n v="84378"/>
    <x v="288"/>
    <n v="12"/>
    <x v="34"/>
    <d v="1899-12-30T11:29:00"/>
    <n v="1.25"/>
    <n v="16218"/>
    <x v="0"/>
    <x v="0"/>
    <n v="15"/>
  </r>
  <r>
    <n v="536404"/>
    <n v="22964"/>
    <x v="289"/>
    <n v="12"/>
    <x v="34"/>
    <d v="1899-12-30T11:29:00"/>
    <n v="2.1"/>
    <n v="16218"/>
    <x v="0"/>
    <x v="0"/>
    <n v="25.200000000000003"/>
  </r>
  <r>
    <n v="536404"/>
    <n v="21213"/>
    <x v="290"/>
    <n v="24"/>
    <x v="34"/>
    <d v="1899-12-30T11:29:00"/>
    <n v="0.55000000000000004"/>
    <n v="16218"/>
    <x v="0"/>
    <x v="0"/>
    <n v="13.200000000000001"/>
  </r>
  <r>
    <n v="536404"/>
    <n v="22417"/>
    <x v="291"/>
    <n v="24"/>
    <x v="34"/>
    <d v="1899-12-30T11:29:00"/>
    <n v="0.55000000000000004"/>
    <n v="16218"/>
    <x v="0"/>
    <x v="0"/>
    <n v="13.200000000000001"/>
  </r>
  <r>
    <n v="536404"/>
    <n v="21212"/>
    <x v="69"/>
    <n v="24"/>
    <x v="34"/>
    <d v="1899-12-30T11:29:00"/>
    <n v="0.55000000000000004"/>
    <n v="16218"/>
    <x v="0"/>
    <x v="0"/>
    <n v="13.200000000000001"/>
  </r>
  <r>
    <n v="536404"/>
    <n v="84992"/>
    <x v="292"/>
    <n v="24"/>
    <x v="34"/>
    <d v="1899-12-30T11:29:00"/>
    <n v="0.55000000000000004"/>
    <n v="16218"/>
    <x v="0"/>
    <x v="0"/>
    <n v="13.200000000000001"/>
  </r>
  <r>
    <n v="536404"/>
    <n v="21975"/>
    <x v="70"/>
    <n v="24"/>
    <x v="34"/>
    <d v="1899-12-30T11:29:00"/>
    <n v="0.55000000000000004"/>
    <n v="16218"/>
    <x v="0"/>
    <x v="0"/>
    <n v="13.200000000000001"/>
  </r>
  <r>
    <n v="536404"/>
    <n v="22383"/>
    <x v="293"/>
    <n v="10"/>
    <x v="34"/>
    <d v="1899-12-30T11:29:00"/>
    <n v="1.65"/>
    <n v="16218"/>
    <x v="0"/>
    <x v="0"/>
    <n v="16.5"/>
  </r>
  <r>
    <n v="536404"/>
    <n v="20728"/>
    <x v="294"/>
    <n v="10"/>
    <x v="34"/>
    <d v="1899-12-30T11:29:00"/>
    <n v="1.65"/>
    <n v="16218"/>
    <x v="0"/>
    <x v="0"/>
    <n v="16.5"/>
  </r>
  <r>
    <n v="536404"/>
    <n v="20727"/>
    <x v="295"/>
    <n v="10"/>
    <x v="34"/>
    <d v="1899-12-30T11:29:00"/>
    <n v="1.65"/>
    <n v="16218"/>
    <x v="0"/>
    <x v="0"/>
    <n v="16.5"/>
  </r>
  <r>
    <n v="536404"/>
    <n v="22296"/>
    <x v="296"/>
    <n v="24"/>
    <x v="34"/>
    <d v="1899-12-30T11:29:00"/>
    <n v="1.65"/>
    <n v="16218"/>
    <x v="0"/>
    <x v="0"/>
    <n v="39.599999999999994"/>
  </r>
  <r>
    <n v="536405"/>
    <n v="20914"/>
    <x v="297"/>
    <n v="128"/>
    <x v="35"/>
    <d v="1899-12-30T11:32:00"/>
    <n v="2.5499999999999998"/>
    <n v="14045"/>
    <x v="0"/>
    <x v="0"/>
    <n v="326.39999999999998"/>
  </r>
  <r>
    <n v="536406"/>
    <s v="85123A"/>
    <x v="0"/>
    <n v="8"/>
    <x v="36"/>
    <d v="1899-12-30T11:33:00"/>
    <n v="2.5499999999999998"/>
    <n v="17850"/>
    <x v="0"/>
    <x v="0"/>
    <n v="20.399999999999999"/>
  </r>
  <r>
    <n v="536406"/>
    <n v="71053"/>
    <x v="1"/>
    <n v="8"/>
    <x v="36"/>
    <d v="1899-12-30T11:33:00"/>
    <n v="3.39"/>
    <n v="17850"/>
    <x v="0"/>
    <x v="0"/>
    <n v="27.12"/>
  </r>
  <r>
    <n v="536406"/>
    <s v="84406B"/>
    <x v="2"/>
    <n v="8"/>
    <x v="36"/>
    <d v="1899-12-30T11:33:00"/>
    <n v="2.75"/>
    <n v="17850"/>
    <x v="0"/>
    <x v="0"/>
    <n v="22"/>
  </r>
  <r>
    <n v="536406"/>
    <n v="20679"/>
    <x v="47"/>
    <n v="6"/>
    <x v="36"/>
    <d v="1899-12-30T11:33:00"/>
    <n v="4.95"/>
    <n v="17850"/>
    <x v="0"/>
    <x v="0"/>
    <n v="29.700000000000003"/>
  </r>
  <r>
    <n v="536406"/>
    <n v="37370"/>
    <x v="48"/>
    <n v="6"/>
    <x v="36"/>
    <d v="1899-12-30T11:33:00"/>
    <n v="1.06"/>
    <n v="17850"/>
    <x v="0"/>
    <x v="0"/>
    <n v="6.36"/>
  </r>
  <r>
    <n v="536406"/>
    <n v="21871"/>
    <x v="49"/>
    <n v="6"/>
    <x v="36"/>
    <d v="1899-12-30T11:33:00"/>
    <n v="1.06"/>
    <n v="17850"/>
    <x v="0"/>
    <x v="0"/>
    <n v="6.36"/>
  </r>
  <r>
    <n v="536406"/>
    <n v="21071"/>
    <x v="50"/>
    <n v="6"/>
    <x v="36"/>
    <d v="1899-12-30T11:33:00"/>
    <n v="1.06"/>
    <n v="17850"/>
    <x v="0"/>
    <x v="0"/>
    <n v="6.36"/>
  </r>
  <r>
    <n v="536406"/>
    <n v="21068"/>
    <x v="51"/>
    <n v="6"/>
    <x v="36"/>
    <d v="1899-12-30T11:33:00"/>
    <n v="1.06"/>
    <n v="17850"/>
    <x v="0"/>
    <x v="0"/>
    <n v="6.36"/>
  </r>
  <r>
    <n v="536406"/>
    <n v="82483"/>
    <x v="52"/>
    <n v="4"/>
    <x v="36"/>
    <d v="1899-12-30T11:33:00"/>
    <n v="4.95"/>
    <n v="17850"/>
    <x v="0"/>
    <x v="0"/>
    <n v="19.8"/>
  </r>
  <r>
    <n v="536406"/>
    <n v="82486"/>
    <x v="53"/>
    <n v="4"/>
    <x v="36"/>
    <d v="1899-12-30T11:33:00"/>
    <n v="6.95"/>
    <n v="17850"/>
    <x v="0"/>
    <x v="0"/>
    <n v="27.8"/>
  </r>
  <r>
    <n v="536406"/>
    <n v="82482"/>
    <x v="54"/>
    <n v="6"/>
    <x v="36"/>
    <d v="1899-12-30T11:33:00"/>
    <n v="2.1"/>
    <n v="17850"/>
    <x v="0"/>
    <x v="0"/>
    <n v="12.600000000000001"/>
  </r>
  <r>
    <n v="536406"/>
    <s v="82494L"/>
    <x v="55"/>
    <n v="6"/>
    <x v="36"/>
    <d v="1899-12-30T11:33:00"/>
    <n v="2.5499999999999998"/>
    <n v="17850"/>
    <x v="0"/>
    <x v="0"/>
    <n v="15.299999999999999"/>
  </r>
  <r>
    <n v="536406"/>
    <s v="84029G"/>
    <x v="3"/>
    <n v="6"/>
    <x v="36"/>
    <d v="1899-12-30T11:33:00"/>
    <n v="3.39"/>
    <n v="17850"/>
    <x v="0"/>
    <x v="0"/>
    <n v="20.34"/>
  </r>
  <r>
    <n v="536406"/>
    <s v="84029E"/>
    <x v="4"/>
    <n v="6"/>
    <x v="36"/>
    <d v="1899-12-30T11:33:00"/>
    <n v="3.39"/>
    <n v="17850"/>
    <x v="0"/>
    <x v="0"/>
    <n v="20.34"/>
  </r>
  <r>
    <n v="536406"/>
    <n v="22752"/>
    <x v="5"/>
    <n v="2"/>
    <x v="36"/>
    <d v="1899-12-30T11:33:00"/>
    <n v="7.65"/>
    <n v="17850"/>
    <x v="0"/>
    <x v="0"/>
    <n v="15.3"/>
  </r>
  <r>
    <n v="536406"/>
    <n v="22803"/>
    <x v="209"/>
    <n v="2"/>
    <x v="36"/>
    <d v="1899-12-30T11:33:00"/>
    <n v="35.75"/>
    <n v="17850"/>
    <x v="0"/>
    <x v="0"/>
    <n v="71.5"/>
  </r>
  <r>
    <n v="536406"/>
    <n v="21730"/>
    <x v="6"/>
    <n v="6"/>
    <x v="36"/>
    <d v="1899-12-30T11:33:00"/>
    <n v="4.25"/>
    <n v="17850"/>
    <x v="0"/>
    <x v="0"/>
    <n v="25.5"/>
  </r>
  <r>
    <n v="536407"/>
    <n v="22632"/>
    <x v="8"/>
    <n v="6"/>
    <x v="37"/>
    <d v="1899-12-30T11:34:00"/>
    <n v="1.85"/>
    <n v="17850"/>
    <x v="0"/>
    <x v="0"/>
    <n v="11.100000000000001"/>
  </r>
  <r>
    <n v="536407"/>
    <n v="22633"/>
    <x v="7"/>
    <n v="6"/>
    <x v="37"/>
    <d v="1899-12-30T11:34:00"/>
    <n v="1.85"/>
    <n v="17850"/>
    <x v="0"/>
    <x v="0"/>
    <n v="11.100000000000001"/>
  </r>
  <r>
    <n v="536408"/>
    <n v="22537"/>
    <x v="298"/>
    <n v="24"/>
    <x v="38"/>
    <d v="1899-12-30T11:41:00"/>
    <n v="0.42"/>
    <n v="14307"/>
    <x v="0"/>
    <x v="0"/>
    <n v="10.08"/>
  </r>
  <r>
    <n v="536408"/>
    <n v="22533"/>
    <x v="299"/>
    <n v="24"/>
    <x v="38"/>
    <d v="1899-12-30T11:41:00"/>
    <n v="0.42"/>
    <n v="14307"/>
    <x v="0"/>
    <x v="0"/>
    <n v="10.08"/>
  </r>
  <r>
    <n v="536408"/>
    <n v="20982"/>
    <x v="300"/>
    <n v="12"/>
    <x v="38"/>
    <d v="1899-12-30T11:41:00"/>
    <n v="0.85"/>
    <n v="14307"/>
    <x v="0"/>
    <x v="0"/>
    <n v="10.199999999999999"/>
  </r>
  <r>
    <n v="536408"/>
    <n v="21832"/>
    <x v="113"/>
    <n v="12"/>
    <x v="38"/>
    <d v="1899-12-30T11:41:00"/>
    <n v="1.65"/>
    <n v="14307"/>
    <x v="0"/>
    <x v="0"/>
    <n v="19.799999999999997"/>
  </r>
  <r>
    <n v="536408"/>
    <n v="21915"/>
    <x v="301"/>
    <n v="12"/>
    <x v="38"/>
    <d v="1899-12-30T11:41:00"/>
    <n v="1.25"/>
    <n v="14307"/>
    <x v="0"/>
    <x v="0"/>
    <n v="15"/>
  </r>
  <r>
    <n v="536408"/>
    <n v="21914"/>
    <x v="302"/>
    <n v="12"/>
    <x v="38"/>
    <d v="1899-12-30T11:41:00"/>
    <n v="1.25"/>
    <n v="14307"/>
    <x v="0"/>
    <x v="0"/>
    <n v="15"/>
  </r>
  <r>
    <n v="536408"/>
    <n v="21544"/>
    <x v="303"/>
    <n v="12"/>
    <x v="38"/>
    <d v="1899-12-30T11:41:00"/>
    <n v="0.85"/>
    <n v="14307"/>
    <x v="0"/>
    <x v="0"/>
    <n v="10.199999999999999"/>
  </r>
  <r>
    <n v="536408"/>
    <n v="22813"/>
    <x v="304"/>
    <n v="12"/>
    <x v="38"/>
    <d v="1899-12-30T11:41:00"/>
    <n v="1.95"/>
    <n v="14307"/>
    <x v="0"/>
    <x v="0"/>
    <n v="23.4"/>
  </r>
  <r>
    <n v="536408"/>
    <n v="22114"/>
    <x v="57"/>
    <n v="4"/>
    <x v="38"/>
    <d v="1899-12-30T11:41:00"/>
    <n v="3.95"/>
    <n v="14307"/>
    <x v="0"/>
    <x v="0"/>
    <n v="15.8"/>
  </r>
  <r>
    <n v="536408"/>
    <s v="84029E"/>
    <x v="4"/>
    <n v="4"/>
    <x v="38"/>
    <d v="1899-12-30T11:41:00"/>
    <n v="3.75"/>
    <n v="14307"/>
    <x v="0"/>
    <x v="0"/>
    <n v="15"/>
  </r>
  <r>
    <n v="536408"/>
    <n v="21479"/>
    <x v="219"/>
    <n v="4"/>
    <x v="38"/>
    <d v="1899-12-30T11:41:00"/>
    <n v="3.75"/>
    <n v="14307"/>
    <x v="0"/>
    <x v="0"/>
    <n v="15"/>
  </r>
  <r>
    <n v="536408"/>
    <n v="22964"/>
    <x v="289"/>
    <n v="6"/>
    <x v="38"/>
    <d v="1899-12-30T11:41:00"/>
    <n v="2.1"/>
    <n v="14307"/>
    <x v="0"/>
    <x v="0"/>
    <n v="12.600000000000001"/>
  </r>
  <r>
    <n v="536408"/>
    <n v="84375"/>
    <x v="305"/>
    <n v="12"/>
    <x v="38"/>
    <d v="1899-12-30T11:41:00"/>
    <n v="2.1"/>
    <n v="14307"/>
    <x v="0"/>
    <x v="0"/>
    <n v="25.200000000000003"/>
  </r>
  <r>
    <n v="536408"/>
    <n v="22418"/>
    <x v="306"/>
    <n v="24"/>
    <x v="38"/>
    <d v="1899-12-30T11:41:00"/>
    <n v="0.85"/>
    <n v="14307"/>
    <x v="0"/>
    <x v="0"/>
    <n v="20.399999999999999"/>
  </r>
  <r>
    <n v="536408"/>
    <n v="22178"/>
    <x v="307"/>
    <n v="12"/>
    <x v="38"/>
    <d v="1899-12-30T11:41:00"/>
    <n v="1.25"/>
    <n v="14307"/>
    <x v="0"/>
    <x v="0"/>
    <n v="15"/>
  </r>
  <r>
    <n v="536408"/>
    <s v="84970L"/>
    <x v="308"/>
    <n v="12"/>
    <x v="38"/>
    <d v="1899-12-30T11:41:00"/>
    <n v="0.95"/>
    <n v="14307"/>
    <x v="0"/>
    <x v="0"/>
    <n v="11.399999999999999"/>
  </r>
  <r>
    <n v="536408"/>
    <n v="21733"/>
    <x v="58"/>
    <n v="6"/>
    <x v="38"/>
    <d v="1899-12-30T11:41:00"/>
    <n v="2.95"/>
    <n v="14307"/>
    <x v="0"/>
    <x v="0"/>
    <n v="17.700000000000003"/>
  </r>
  <r>
    <n v="536408"/>
    <n v="22465"/>
    <x v="309"/>
    <n v="12"/>
    <x v="38"/>
    <d v="1899-12-30T11:41:00"/>
    <n v="1.65"/>
    <n v="14307"/>
    <x v="0"/>
    <x v="0"/>
    <n v="19.799999999999997"/>
  </r>
  <r>
    <n v="536408"/>
    <n v="84949"/>
    <x v="310"/>
    <n v="6"/>
    <x v="38"/>
    <d v="1899-12-30T11:41:00"/>
    <n v="1.65"/>
    <n v="14307"/>
    <x v="0"/>
    <x v="0"/>
    <n v="9.8999999999999986"/>
  </r>
  <r>
    <n v="536408"/>
    <n v="20685"/>
    <x v="311"/>
    <n v="2"/>
    <x v="38"/>
    <d v="1899-12-30T11:41:00"/>
    <n v="7.95"/>
    <n v="14307"/>
    <x v="0"/>
    <x v="0"/>
    <n v="15.9"/>
  </r>
  <r>
    <n v="536408"/>
    <n v="48194"/>
    <x v="312"/>
    <n v="2"/>
    <x v="38"/>
    <d v="1899-12-30T11:41:00"/>
    <n v="7.95"/>
    <n v="14307"/>
    <x v="0"/>
    <x v="0"/>
    <n v="15.9"/>
  </r>
  <r>
    <n v="536408"/>
    <n v="22488"/>
    <x v="313"/>
    <n v="12"/>
    <x v="38"/>
    <d v="1899-12-30T11:41:00"/>
    <n v="1.65"/>
    <n v="14307"/>
    <x v="0"/>
    <x v="0"/>
    <n v="19.799999999999997"/>
  </r>
  <r>
    <n v="536408"/>
    <n v="22219"/>
    <x v="314"/>
    <n v="12"/>
    <x v="38"/>
    <d v="1899-12-30T11:41:00"/>
    <n v="0.85"/>
    <n v="14307"/>
    <x v="0"/>
    <x v="0"/>
    <n v="10.199999999999999"/>
  </r>
  <r>
    <n v="536408"/>
    <n v="84879"/>
    <x v="9"/>
    <n v="8"/>
    <x v="38"/>
    <d v="1899-12-30T11:41:00"/>
    <n v="1.69"/>
    <n v="14307"/>
    <x v="0"/>
    <x v="0"/>
    <n v="13.52"/>
  </r>
  <r>
    <n v="536408"/>
    <n v="21754"/>
    <x v="17"/>
    <n v="3"/>
    <x v="38"/>
    <d v="1899-12-30T11:41:00"/>
    <n v="5.95"/>
    <n v="14307"/>
    <x v="0"/>
    <x v="0"/>
    <n v="17.850000000000001"/>
  </r>
  <r>
    <n v="536408"/>
    <n v="21755"/>
    <x v="18"/>
    <n v="3"/>
    <x v="38"/>
    <d v="1899-12-30T11:41:00"/>
    <n v="5.95"/>
    <n v="14307"/>
    <x v="0"/>
    <x v="0"/>
    <n v="17.850000000000001"/>
  </r>
  <r>
    <n v="536408"/>
    <n v="22766"/>
    <x v="224"/>
    <n v="8"/>
    <x v="38"/>
    <d v="1899-12-30T11:41:00"/>
    <n v="2.95"/>
    <n v="14307"/>
    <x v="0"/>
    <x v="0"/>
    <n v="23.6"/>
  </r>
  <r>
    <n v="536408"/>
    <n v="22610"/>
    <x v="315"/>
    <n v="36"/>
    <x v="38"/>
    <d v="1899-12-30T11:41:00"/>
    <n v="0.85"/>
    <n v="14307"/>
    <x v="0"/>
    <x v="0"/>
    <n v="30.599999999999998"/>
  </r>
  <r>
    <n v="536408"/>
    <n v="22716"/>
    <x v="316"/>
    <n v="12"/>
    <x v="38"/>
    <d v="1899-12-30T11:41:00"/>
    <n v="0.42"/>
    <n v="14307"/>
    <x v="0"/>
    <x v="0"/>
    <n v="5.04"/>
  </r>
  <r>
    <n v="536408"/>
    <n v="22706"/>
    <x v="317"/>
    <n v="25"/>
    <x v="38"/>
    <d v="1899-12-30T11:41:00"/>
    <n v="0.42"/>
    <n v="14307"/>
    <x v="0"/>
    <x v="0"/>
    <n v="10.5"/>
  </r>
  <r>
    <n v="536408"/>
    <n v="22371"/>
    <x v="318"/>
    <n v="4"/>
    <x v="38"/>
    <d v="1899-12-30T11:41:00"/>
    <n v="4.25"/>
    <n v="14307"/>
    <x v="0"/>
    <x v="0"/>
    <n v="17"/>
  </r>
  <r>
    <n v="536408"/>
    <s v="85014B"/>
    <x v="157"/>
    <n v="3"/>
    <x v="38"/>
    <d v="1899-12-30T11:41:00"/>
    <n v="5.95"/>
    <n v="14307"/>
    <x v="0"/>
    <x v="0"/>
    <n v="17.850000000000001"/>
  </r>
  <r>
    <n v="536408"/>
    <s v="85014A"/>
    <x v="158"/>
    <n v="3"/>
    <x v="38"/>
    <d v="1899-12-30T11:41:00"/>
    <n v="5.95"/>
    <n v="14307"/>
    <x v="0"/>
    <x v="0"/>
    <n v="17.850000000000001"/>
  </r>
  <r>
    <n v="536408"/>
    <s v="84997B"/>
    <x v="63"/>
    <n v="6"/>
    <x v="38"/>
    <d v="1899-12-30T11:41:00"/>
    <n v="3.75"/>
    <n v="14307"/>
    <x v="0"/>
    <x v="0"/>
    <n v="22.5"/>
  </r>
  <r>
    <n v="536408"/>
    <n v="21212"/>
    <x v="69"/>
    <n v="24"/>
    <x v="38"/>
    <d v="1899-12-30T11:41:00"/>
    <n v="0.55000000000000004"/>
    <n v="14307"/>
    <x v="0"/>
    <x v="0"/>
    <n v="13.200000000000001"/>
  </r>
  <r>
    <n v="536408"/>
    <n v="21210"/>
    <x v="319"/>
    <n v="12"/>
    <x v="38"/>
    <d v="1899-12-30T11:41:00"/>
    <n v="1.45"/>
    <n v="14307"/>
    <x v="0"/>
    <x v="0"/>
    <n v="17.399999999999999"/>
  </r>
  <r>
    <n v="536408"/>
    <n v="22914"/>
    <x v="24"/>
    <n v="3"/>
    <x v="38"/>
    <d v="1899-12-30T11:41:00"/>
    <n v="4.95"/>
    <n v="14307"/>
    <x v="0"/>
    <x v="0"/>
    <n v="14.850000000000001"/>
  </r>
  <r>
    <n v="536408"/>
    <n v="22553"/>
    <x v="185"/>
    <n v="12"/>
    <x v="38"/>
    <d v="1899-12-30T11:41:00"/>
    <n v="1.65"/>
    <n v="14307"/>
    <x v="0"/>
    <x v="0"/>
    <n v="19.799999999999997"/>
  </r>
  <r>
    <n v="536408"/>
    <n v="16237"/>
    <x v="320"/>
    <n v="30"/>
    <x v="38"/>
    <d v="1899-12-30T11:41:00"/>
    <n v="0.21"/>
    <n v="14307"/>
    <x v="0"/>
    <x v="0"/>
    <n v="6.3"/>
  </r>
  <r>
    <n v="536408"/>
    <n v="22714"/>
    <x v="321"/>
    <n v="12"/>
    <x v="38"/>
    <d v="1899-12-30T11:41:00"/>
    <n v="0.42"/>
    <n v="14307"/>
    <x v="0"/>
    <x v="0"/>
    <n v="5.04"/>
  </r>
  <r>
    <n v="536408"/>
    <n v="22812"/>
    <x v="322"/>
    <n v="12"/>
    <x v="38"/>
    <d v="1899-12-30T11:41:00"/>
    <n v="1.95"/>
    <n v="14307"/>
    <x v="0"/>
    <x v="0"/>
    <n v="23.4"/>
  </r>
  <r>
    <n v="536408"/>
    <n v="84347"/>
    <x v="323"/>
    <n v="6"/>
    <x v="38"/>
    <d v="1899-12-30T11:41:00"/>
    <n v="2.5499999999999998"/>
    <n v="14307"/>
    <x v="0"/>
    <x v="0"/>
    <n v="15.299999999999999"/>
  </r>
  <r>
    <n v="536408"/>
    <n v="21587"/>
    <x v="261"/>
    <n v="12"/>
    <x v="38"/>
    <d v="1899-12-30T11:41:00"/>
    <n v="2.5499999999999998"/>
    <n v="14307"/>
    <x v="0"/>
    <x v="0"/>
    <n v="30.599999999999998"/>
  </r>
  <r>
    <n v="536408"/>
    <n v="22736"/>
    <x v="324"/>
    <n v="10"/>
    <x v="38"/>
    <d v="1899-12-30T11:41:00"/>
    <n v="1.65"/>
    <n v="14307"/>
    <x v="0"/>
    <x v="0"/>
    <n v="16.5"/>
  </r>
  <r>
    <n v="536408"/>
    <n v="22492"/>
    <x v="44"/>
    <n v="36"/>
    <x v="38"/>
    <d v="1899-12-30T11:41:00"/>
    <n v="0.65"/>
    <n v="14307"/>
    <x v="0"/>
    <x v="0"/>
    <n v="23.400000000000002"/>
  </r>
  <r>
    <n v="536408"/>
    <n v="22620"/>
    <x v="325"/>
    <n v="12"/>
    <x v="38"/>
    <d v="1899-12-30T11:41:00"/>
    <n v="1.25"/>
    <n v="14307"/>
    <x v="0"/>
    <x v="0"/>
    <n v="15"/>
  </r>
  <r>
    <n v="536408"/>
    <n v="22619"/>
    <x v="187"/>
    <n v="4"/>
    <x v="38"/>
    <d v="1899-12-30T11:41:00"/>
    <n v="3.75"/>
    <n v="14307"/>
    <x v="0"/>
    <x v="0"/>
    <n v="15"/>
  </r>
  <r>
    <n v="536408"/>
    <n v="21705"/>
    <x v="326"/>
    <n v="12"/>
    <x v="38"/>
    <d v="1899-12-30T11:41:00"/>
    <n v="1.65"/>
    <n v="14307"/>
    <x v="0"/>
    <x v="0"/>
    <n v="19.799999999999997"/>
  </r>
  <r>
    <n v="536409"/>
    <s v="90199C"/>
    <x v="327"/>
    <n v="3"/>
    <x v="39"/>
    <d v="1899-12-30T11:45:00"/>
    <n v="6.35"/>
    <n v="17908"/>
    <x v="0"/>
    <x v="0"/>
    <n v="19.049999999999997"/>
  </r>
  <r>
    <n v="536409"/>
    <n v="21479"/>
    <x v="219"/>
    <n v="1"/>
    <x v="39"/>
    <d v="1899-12-30T11:45:00"/>
    <n v="3.75"/>
    <n v="17908"/>
    <x v="0"/>
    <x v="0"/>
    <n v="3.75"/>
  </r>
  <r>
    <n v="536409"/>
    <n v="22111"/>
    <x v="220"/>
    <n v="1"/>
    <x v="39"/>
    <d v="1899-12-30T11:45:00"/>
    <n v="4.95"/>
    <n v="17908"/>
    <x v="0"/>
    <x v="0"/>
    <n v="4.95"/>
  </r>
  <r>
    <n v="536409"/>
    <n v="22785"/>
    <x v="328"/>
    <n v="1"/>
    <x v="39"/>
    <d v="1899-12-30T11:45:00"/>
    <n v="6.75"/>
    <n v="17908"/>
    <x v="0"/>
    <x v="0"/>
    <n v="6.75"/>
  </r>
  <r>
    <n v="536409"/>
    <n v="22975"/>
    <x v="329"/>
    <n v="1"/>
    <x v="39"/>
    <d v="1899-12-30T11:45:00"/>
    <n v="1.25"/>
    <n v="17908"/>
    <x v="0"/>
    <x v="0"/>
    <n v="1.25"/>
  </r>
  <r>
    <n v="536409"/>
    <n v="22972"/>
    <x v="330"/>
    <n v="1"/>
    <x v="39"/>
    <d v="1899-12-30T11:45:00"/>
    <n v="1.65"/>
    <n v="17908"/>
    <x v="0"/>
    <x v="0"/>
    <n v="1.65"/>
  </r>
  <r>
    <n v="536409"/>
    <n v="22866"/>
    <x v="197"/>
    <n v="1"/>
    <x v="39"/>
    <d v="1899-12-30T11:45:00"/>
    <n v="2.1"/>
    <n v="17908"/>
    <x v="0"/>
    <x v="0"/>
    <n v="2.1"/>
  </r>
  <r>
    <n v="536409"/>
    <n v="22568"/>
    <x v="331"/>
    <n v="1"/>
    <x v="39"/>
    <d v="1899-12-30T11:45:00"/>
    <n v="3.75"/>
    <n v="17908"/>
    <x v="0"/>
    <x v="0"/>
    <n v="3.75"/>
  </r>
  <r>
    <n v="536409"/>
    <n v="85116"/>
    <x v="332"/>
    <n v="1"/>
    <x v="39"/>
    <d v="1899-12-30T11:45:00"/>
    <n v="2.1"/>
    <n v="17908"/>
    <x v="0"/>
    <x v="0"/>
    <n v="2.1"/>
  </r>
  <r>
    <n v="536409"/>
    <n v="22664"/>
    <x v="333"/>
    <n v="1"/>
    <x v="39"/>
    <d v="1899-12-30T11:45:00"/>
    <n v="2.1"/>
    <n v="17908"/>
    <x v="0"/>
    <x v="0"/>
    <n v="2.1"/>
  </r>
  <r>
    <n v="536409"/>
    <n v="21609"/>
    <x v="334"/>
    <n v="1"/>
    <x v="39"/>
    <d v="1899-12-30T11:45:00"/>
    <n v="2.95"/>
    <n v="17908"/>
    <x v="0"/>
    <x v="0"/>
    <n v="2.95"/>
  </r>
  <r>
    <n v="536409"/>
    <n v="21866"/>
    <x v="335"/>
    <n v="1"/>
    <x v="39"/>
    <d v="1899-12-30T11:45:00"/>
    <n v="1.25"/>
    <n v="17908"/>
    <x v="0"/>
    <x v="0"/>
    <n v="1.25"/>
  </r>
  <r>
    <n v="536409"/>
    <n v="20669"/>
    <x v="336"/>
    <n v="1"/>
    <x v="39"/>
    <d v="1899-12-30T11:45:00"/>
    <n v="1.25"/>
    <n v="17908"/>
    <x v="0"/>
    <x v="0"/>
    <n v="1.25"/>
  </r>
  <r>
    <n v="536409"/>
    <s v="90129F"/>
    <x v="337"/>
    <n v="1"/>
    <x v="39"/>
    <d v="1899-12-30T11:45:00"/>
    <n v="2.95"/>
    <n v="17908"/>
    <x v="0"/>
    <x v="0"/>
    <n v="2.95"/>
  </r>
  <r>
    <n v="536409"/>
    <s v="90210B"/>
    <x v="338"/>
    <n v="1"/>
    <x v="39"/>
    <d v="1899-12-30T11:45:00"/>
    <n v="2.95"/>
    <n v="17908"/>
    <x v="0"/>
    <x v="0"/>
    <n v="2.95"/>
  </r>
  <r>
    <n v="536409"/>
    <s v="90199C"/>
    <x v="327"/>
    <n v="1"/>
    <x v="39"/>
    <d v="1899-12-30T11:45:00"/>
    <n v="6.35"/>
    <n v="17908"/>
    <x v="0"/>
    <x v="0"/>
    <n v="6.35"/>
  </r>
  <r>
    <n v="536409"/>
    <n v="21955"/>
    <x v="339"/>
    <n v="1"/>
    <x v="39"/>
    <d v="1899-12-30T11:45:00"/>
    <n v="7.95"/>
    <n v="17908"/>
    <x v="0"/>
    <x v="0"/>
    <n v="7.95"/>
  </r>
  <r>
    <n v="536409"/>
    <s v="72802C"/>
    <x v="340"/>
    <n v="1"/>
    <x v="39"/>
    <d v="1899-12-30T11:45:00"/>
    <n v="4.25"/>
    <n v="17908"/>
    <x v="0"/>
    <x v="0"/>
    <n v="4.25"/>
  </r>
  <r>
    <n v="536409"/>
    <n v="22109"/>
    <x v="341"/>
    <n v="1"/>
    <x v="39"/>
    <d v="1899-12-30T11:45:00"/>
    <n v="3.75"/>
    <n v="17908"/>
    <x v="0"/>
    <x v="0"/>
    <n v="3.75"/>
  </r>
  <r>
    <n v="536409"/>
    <n v="85116"/>
    <x v="332"/>
    <n v="5"/>
    <x v="39"/>
    <d v="1899-12-30T11:45:00"/>
    <n v="2.1"/>
    <n v="17908"/>
    <x v="0"/>
    <x v="0"/>
    <n v="10.5"/>
  </r>
  <r>
    <n v="536409"/>
    <n v="22531"/>
    <x v="342"/>
    <n v="1"/>
    <x v="39"/>
    <d v="1899-12-30T11:45:00"/>
    <n v="0.42"/>
    <n v="17908"/>
    <x v="0"/>
    <x v="0"/>
    <n v="0.42"/>
  </r>
  <r>
    <n v="536409"/>
    <n v="21811"/>
    <x v="343"/>
    <n v="1"/>
    <x v="39"/>
    <d v="1899-12-30T11:45:00"/>
    <n v="1.25"/>
    <n v="17908"/>
    <x v="0"/>
    <x v="0"/>
    <n v="1.25"/>
  </r>
  <r>
    <n v="536409"/>
    <n v="22183"/>
    <x v="344"/>
    <n v="1"/>
    <x v="39"/>
    <d v="1899-12-30T11:45:00"/>
    <n v="6.75"/>
    <n v="17908"/>
    <x v="0"/>
    <x v="0"/>
    <n v="6.75"/>
  </r>
  <r>
    <n v="536409"/>
    <n v="21678"/>
    <x v="345"/>
    <n v="6"/>
    <x v="39"/>
    <d v="1899-12-30T11:45:00"/>
    <n v="0.85"/>
    <n v="17908"/>
    <x v="0"/>
    <x v="0"/>
    <n v="5.0999999999999996"/>
  </r>
  <r>
    <n v="536409"/>
    <n v="21676"/>
    <x v="346"/>
    <n v="6"/>
    <x v="39"/>
    <d v="1899-12-30T11:45:00"/>
    <n v="0.85"/>
    <n v="17908"/>
    <x v="0"/>
    <x v="0"/>
    <n v="5.0999999999999996"/>
  </r>
  <r>
    <n v="536409"/>
    <s v="84625A"/>
    <x v="270"/>
    <n v="1"/>
    <x v="39"/>
    <d v="1899-12-30T11:45:00"/>
    <n v="2.95"/>
    <n v="17908"/>
    <x v="0"/>
    <x v="0"/>
    <n v="2.95"/>
  </r>
  <r>
    <n v="536409"/>
    <s v="84625C"/>
    <x v="269"/>
    <n v="3"/>
    <x v="39"/>
    <d v="1899-12-30T11:45:00"/>
    <n v="2.95"/>
    <n v="17908"/>
    <x v="0"/>
    <x v="0"/>
    <n v="8.8500000000000014"/>
  </r>
  <r>
    <n v="536409"/>
    <n v="21931"/>
    <x v="76"/>
    <n v="2"/>
    <x v="39"/>
    <d v="1899-12-30T11:45:00"/>
    <n v="1.95"/>
    <n v="17908"/>
    <x v="0"/>
    <x v="0"/>
    <n v="3.9"/>
  </r>
  <r>
    <n v="536409"/>
    <s v="85169B"/>
    <x v="347"/>
    <n v="12"/>
    <x v="39"/>
    <d v="1899-12-30T11:45:00"/>
    <n v="1.25"/>
    <n v="17908"/>
    <x v="0"/>
    <x v="0"/>
    <n v="15"/>
  </r>
  <r>
    <n v="536409"/>
    <n v="16238"/>
    <x v="348"/>
    <n v="28"/>
    <x v="39"/>
    <d v="1899-12-30T11:45:00"/>
    <n v="0.21"/>
    <n v="17908"/>
    <x v="0"/>
    <x v="0"/>
    <n v="5.88"/>
  </r>
  <r>
    <n v="536409"/>
    <n v="20668"/>
    <x v="169"/>
    <n v="24"/>
    <x v="39"/>
    <d v="1899-12-30T11:45:00"/>
    <n v="0.12"/>
    <n v="17908"/>
    <x v="0"/>
    <x v="0"/>
    <n v="2.88"/>
  </r>
  <r>
    <n v="536409"/>
    <n v="84906"/>
    <x v="349"/>
    <n v="1"/>
    <x v="39"/>
    <d v="1899-12-30T11:45:00"/>
    <n v="5.95"/>
    <n v="17908"/>
    <x v="0"/>
    <x v="0"/>
    <n v="5.95"/>
  </r>
  <r>
    <n v="536409"/>
    <n v="21867"/>
    <x v="350"/>
    <n v="1"/>
    <x v="39"/>
    <d v="1899-12-30T11:45:00"/>
    <n v="1.25"/>
    <n v="17908"/>
    <x v="0"/>
    <x v="0"/>
    <n v="1.25"/>
  </r>
  <r>
    <n v="536409"/>
    <n v="22075"/>
    <x v="351"/>
    <n v="1"/>
    <x v="39"/>
    <d v="1899-12-30T11:45:00"/>
    <n v="1.65"/>
    <n v="17908"/>
    <x v="0"/>
    <x v="0"/>
    <n v="1.65"/>
  </r>
  <r>
    <n v="536409"/>
    <n v="21326"/>
    <x v="352"/>
    <n v="12"/>
    <x v="39"/>
    <d v="1899-12-30T11:45:00"/>
    <n v="0.65"/>
    <n v="17908"/>
    <x v="0"/>
    <x v="0"/>
    <n v="7.8000000000000007"/>
  </r>
  <r>
    <n v="536409"/>
    <n v="21065"/>
    <x v="353"/>
    <n v="1"/>
    <x v="39"/>
    <d v="1899-12-30T11:45:00"/>
    <n v="5.95"/>
    <n v="17908"/>
    <x v="0"/>
    <x v="0"/>
    <n v="5.95"/>
  </r>
  <r>
    <n v="536409"/>
    <n v="22074"/>
    <x v="354"/>
    <n v="1"/>
    <x v="39"/>
    <d v="1899-12-30T11:45:00"/>
    <n v="1.65"/>
    <n v="17908"/>
    <x v="0"/>
    <x v="0"/>
    <n v="1.65"/>
  </r>
  <r>
    <n v="536409"/>
    <n v="22900"/>
    <x v="40"/>
    <n v="1"/>
    <x v="39"/>
    <d v="1899-12-30T11:45:00"/>
    <n v="2.95"/>
    <n v="17908"/>
    <x v="0"/>
    <x v="0"/>
    <n v="2.95"/>
  </r>
  <r>
    <n v="536409"/>
    <n v="20713"/>
    <x v="355"/>
    <n v="1"/>
    <x v="39"/>
    <d v="1899-12-30T11:45:00"/>
    <n v="1.95"/>
    <n v="17908"/>
    <x v="0"/>
    <x v="0"/>
    <n v="1.95"/>
  </r>
  <r>
    <n v="536409"/>
    <n v="20966"/>
    <x v="253"/>
    <n v="2"/>
    <x v="39"/>
    <d v="1899-12-30T11:45:00"/>
    <n v="1.25"/>
    <n v="17908"/>
    <x v="0"/>
    <x v="0"/>
    <n v="2.5"/>
  </r>
  <r>
    <n v="536409"/>
    <n v="21116"/>
    <x v="356"/>
    <n v="1"/>
    <x v="39"/>
    <d v="1899-12-30T11:45:00"/>
    <n v="4.95"/>
    <n v="17908"/>
    <x v="0"/>
    <x v="0"/>
    <n v="4.95"/>
  </r>
  <r>
    <n v="536409"/>
    <s v="90199C"/>
    <x v="327"/>
    <n v="2"/>
    <x v="39"/>
    <d v="1899-12-30T11:45:00"/>
    <n v="6.35"/>
    <n v="17908"/>
    <x v="0"/>
    <x v="0"/>
    <n v="12.7"/>
  </r>
  <r>
    <n v="536409"/>
    <n v="22633"/>
    <x v="7"/>
    <n v="1"/>
    <x v="39"/>
    <d v="1899-12-30T11:45:00"/>
    <n v="2.1"/>
    <n v="17908"/>
    <x v="0"/>
    <x v="0"/>
    <n v="2.1"/>
  </r>
  <r>
    <n v="536409"/>
    <n v="22198"/>
    <x v="171"/>
    <n v="1"/>
    <x v="39"/>
    <d v="1899-12-30T11:45:00"/>
    <n v="1.65"/>
    <n v="17908"/>
    <x v="0"/>
    <x v="0"/>
    <n v="1.65"/>
  </r>
  <r>
    <n v="536409"/>
    <n v="21824"/>
    <x v="357"/>
    <n v="3"/>
    <x v="39"/>
    <d v="1899-12-30T11:45:00"/>
    <n v="1.45"/>
    <n v="17908"/>
    <x v="0"/>
    <x v="0"/>
    <n v="4.3499999999999996"/>
  </r>
  <r>
    <n v="536409"/>
    <n v="21823"/>
    <x v="358"/>
    <n v="3"/>
    <x v="39"/>
    <d v="1899-12-30T11:45:00"/>
    <n v="1.45"/>
    <n v="17908"/>
    <x v="0"/>
    <x v="0"/>
    <n v="4.3499999999999996"/>
  </r>
  <r>
    <n v="536409"/>
    <n v="22153"/>
    <x v="359"/>
    <n v="6"/>
    <x v="39"/>
    <d v="1899-12-30T11:45:00"/>
    <n v="0.42"/>
    <n v="17908"/>
    <x v="0"/>
    <x v="0"/>
    <n v="2.52"/>
  </r>
  <r>
    <n v="536409"/>
    <n v="22197"/>
    <x v="170"/>
    <n v="2"/>
    <x v="39"/>
    <d v="1899-12-30T11:45:00"/>
    <n v="0.85"/>
    <n v="17908"/>
    <x v="0"/>
    <x v="0"/>
    <n v="1.7"/>
  </r>
  <r>
    <n v="536409"/>
    <s v="85099B"/>
    <x v="140"/>
    <n v="2"/>
    <x v="39"/>
    <d v="1899-12-30T11:45:00"/>
    <n v="1.95"/>
    <n v="17908"/>
    <x v="0"/>
    <x v="0"/>
    <n v="3.9"/>
  </r>
  <r>
    <n v="536409"/>
    <s v="85099F"/>
    <x v="360"/>
    <n v="1"/>
    <x v="39"/>
    <d v="1899-12-30T11:45:00"/>
    <n v="1.95"/>
    <n v="17908"/>
    <x v="0"/>
    <x v="0"/>
    <n v="1.95"/>
  </r>
  <r>
    <n v="536409"/>
    <n v="20717"/>
    <x v="361"/>
    <n v="1"/>
    <x v="39"/>
    <d v="1899-12-30T11:45:00"/>
    <n v="1.25"/>
    <n v="17908"/>
    <x v="0"/>
    <x v="0"/>
    <n v="1.25"/>
  </r>
  <r>
    <n v="536409"/>
    <n v="20723"/>
    <x v="62"/>
    <n v="1"/>
    <x v="39"/>
    <d v="1899-12-30T11:45:00"/>
    <n v="0.85"/>
    <n v="17908"/>
    <x v="0"/>
    <x v="0"/>
    <n v="0.85"/>
  </r>
  <r>
    <n v="536409"/>
    <n v="21980"/>
    <x v="182"/>
    <n v="12"/>
    <x v="39"/>
    <d v="1899-12-30T11:45:00"/>
    <n v="0.28999999999999998"/>
    <n v="17908"/>
    <x v="0"/>
    <x v="0"/>
    <n v="3.4799999999999995"/>
  </r>
  <r>
    <n v="536409"/>
    <n v="22112"/>
    <x v="218"/>
    <n v="1"/>
    <x v="39"/>
    <d v="1899-12-30T11:45:00"/>
    <n v="4.95"/>
    <n v="17908"/>
    <x v="0"/>
    <x v="0"/>
    <n v="4.95"/>
  </r>
  <r>
    <n v="536412"/>
    <n v="20728"/>
    <x v="294"/>
    <n v="3"/>
    <x v="40"/>
    <d v="1899-12-30T11:49:00"/>
    <n v="1.65"/>
    <n v="17920"/>
    <x v="0"/>
    <x v="0"/>
    <n v="4.9499999999999993"/>
  </r>
  <r>
    <n v="536412"/>
    <n v="22382"/>
    <x v="265"/>
    <n v="3"/>
    <x v="40"/>
    <d v="1899-12-30T11:49:00"/>
    <n v="1.65"/>
    <n v="17920"/>
    <x v="0"/>
    <x v="0"/>
    <n v="4.9499999999999993"/>
  </r>
  <r>
    <n v="536412"/>
    <n v="22326"/>
    <x v="34"/>
    <n v="1"/>
    <x v="40"/>
    <d v="1899-12-30T11:49:00"/>
    <n v="2.95"/>
    <n v="17920"/>
    <x v="0"/>
    <x v="0"/>
    <n v="2.95"/>
  </r>
  <r>
    <n v="536412"/>
    <n v="22662"/>
    <x v="138"/>
    <n v="4"/>
    <x v="40"/>
    <d v="1899-12-30T11:49:00"/>
    <n v="1.65"/>
    <n v="17920"/>
    <x v="0"/>
    <x v="0"/>
    <n v="6.6"/>
  </r>
  <r>
    <n v="536412"/>
    <n v="22383"/>
    <x v="293"/>
    <n v="3"/>
    <x v="40"/>
    <d v="1899-12-30T11:49:00"/>
    <n v="1.65"/>
    <n v="17920"/>
    <x v="0"/>
    <x v="0"/>
    <n v="4.9499999999999993"/>
  </r>
  <r>
    <n v="536412"/>
    <n v="20727"/>
    <x v="295"/>
    <n v="3"/>
    <x v="40"/>
    <d v="1899-12-30T11:49:00"/>
    <n v="1.65"/>
    <n v="17920"/>
    <x v="0"/>
    <x v="0"/>
    <n v="4.9499999999999993"/>
  </r>
  <r>
    <n v="536412"/>
    <n v="22328"/>
    <x v="362"/>
    <n v="1"/>
    <x v="40"/>
    <d v="1899-12-30T11:49:00"/>
    <n v="2.95"/>
    <n v="17920"/>
    <x v="0"/>
    <x v="0"/>
    <n v="2.95"/>
  </r>
  <r>
    <n v="536412"/>
    <n v="22327"/>
    <x v="363"/>
    <n v="1"/>
    <x v="40"/>
    <d v="1899-12-30T11:49:00"/>
    <n v="2.95"/>
    <n v="17920"/>
    <x v="0"/>
    <x v="0"/>
    <n v="2.95"/>
  </r>
  <r>
    <n v="536412"/>
    <n v="22630"/>
    <x v="364"/>
    <n v="1"/>
    <x v="40"/>
    <d v="1899-12-30T11:49:00"/>
    <n v="1.95"/>
    <n v="17920"/>
    <x v="0"/>
    <x v="0"/>
    <n v="1.95"/>
  </r>
  <r>
    <n v="536412"/>
    <n v="22629"/>
    <x v="35"/>
    <n v="1"/>
    <x v="40"/>
    <d v="1899-12-30T11:49:00"/>
    <n v="1.95"/>
    <n v="17920"/>
    <x v="0"/>
    <x v="0"/>
    <n v="1.95"/>
  </r>
  <r>
    <n v="536412"/>
    <n v="21245"/>
    <x v="365"/>
    <n v="1"/>
    <x v="40"/>
    <d v="1899-12-30T11:49:00"/>
    <n v="1.69"/>
    <n v="17920"/>
    <x v="0"/>
    <x v="0"/>
    <n v="1.69"/>
  </r>
  <r>
    <n v="536412"/>
    <n v="21244"/>
    <x v="366"/>
    <n v="1"/>
    <x v="40"/>
    <d v="1899-12-30T11:49:00"/>
    <n v="1.69"/>
    <n v="17920"/>
    <x v="0"/>
    <x v="0"/>
    <n v="1.69"/>
  </r>
  <r>
    <n v="536412"/>
    <n v="21242"/>
    <x v="367"/>
    <n v="1"/>
    <x v="40"/>
    <d v="1899-12-30T11:49:00"/>
    <n v="1.69"/>
    <n v="17920"/>
    <x v="0"/>
    <x v="0"/>
    <n v="1.69"/>
  </r>
  <r>
    <n v="536412"/>
    <n v="21243"/>
    <x v="368"/>
    <n v="1"/>
    <x v="40"/>
    <d v="1899-12-30T11:49:00"/>
    <n v="1.69"/>
    <n v="17920"/>
    <x v="0"/>
    <x v="0"/>
    <n v="1.69"/>
  </r>
  <r>
    <n v="536412"/>
    <n v="22273"/>
    <x v="369"/>
    <n v="1"/>
    <x v="40"/>
    <d v="1899-12-30T11:49:00"/>
    <n v="2.95"/>
    <n v="17920"/>
    <x v="0"/>
    <x v="0"/>
    <n v="2.95"/>
  </r>
  <r>
    <n v="536412"/>
    <n v="22940"/>
    <x v="370"/>
    <n v="3"/>
    <x v="40"/>
    <d v="1899-12-30T11:49:00"/>
    <n v="4.25"/>
    <n v="17920"/>
    <x v="0"/>
    <x v="0"/>
    <n v="12.75"/>
  </r>
  <r>
    <n v="536412"/>
    <n v="22652"/>
    <x v="203"/>
    <n v="5"/>
    <x v="40"/>
    <d v="1899-12-30T11:49:00"/>
    <n v="1.65"/>
    <n v="17920"/>
    <x v="0"/>
    <x v="0"/>
    <n v="8.25"/>
  </r>
  <r>
    <n v="536412"/>
    <n v="22759"/>
    <x v="371"/>
    <n v="1"/>
    <x v="40"/>
    <d v="1899-12-30T11:49:00"/>
    <n v="1.65"/>
    <n v="17920"/>
    <x v="0"/>
    <x v="0"/>
    <n v="1.65"/>
  </r>
  <r>
    <n v="536412"/>
    <n v="21880"/>
    <x v="372"/>
    <n v="10"/>
    <x v="40"/>
    <d v="1899-12-30T11:49:00"/>
    <n v="0.65"/>
    <n v="17920"/>
    <x v="0"/>
    <x v="0"/>
    <n v="6.5"/>
  </r>
  <r>
    <n v="536412"/>
    <n v="21738"/>
    <x v="373"/>
    <n v="1"/>
    <x v="40"/>
    <d v="1899-12-30T11:49:00"/>
    <n v="2.95"/>
    <n v="17920"/>
    <x v="0"/>
    <x v="0"/>
    <n v="2.95"/>
  </r>
  <r>
    <n v="536412"/>
    <n v="22077"/>
    <x v="374"/>
    <n v="1"/>
    <x v="40"/>
    <d v="1899-12-30T11:49:00"/>
    <n v="1.65"/>
    <n v="17920"/>
    <x v="0"/>
    <x v="0"/>
    <n v="1.65"/>
  </r>
  <r>
    <n v="536412"/>
    <s v="85049E"/>
    <x v="228"/>
    <n v="3"/>
    <x v="40"/>
    <d v="1899-12-30T11:49:00"/>
    <n v="1.25"/>
    <n v="17920"/>
    <x v="0"/>
    <x v="0"/>
    <n v="3.75"/>
  </r>
  <r>
    <n v="536412"/>
    <n v="22961"/>
    <x v="78"/>
    <n v="24"/>
    <x v="40"/>
    <d v="1899-12-30T11:49:00"/>
    <n v="1.45"/>
    <n v="17920"/>
    <x v="0"/>
    <x v="0"/>
    <n v="34.799999999999997"/>
  </r>
  <r>
    <n v="536412"/>
    <n v="21448"/>
    <x v="375"/>
    <n v="2"/>
    <x v="40"/>
    <d v="1899-12-30T11:49:00"/>
    <n v="1.65"/>
    <n v="17920"/>
    <x v="0"/>
    <x v="0"/>
    <n v="3.3"/>
  </r>
  <r>
    <n v="536412"/>
    <n v="22837"/>
    <x v="274"/>
    <n v="3"/>
    <x v="40"/>
    <d v="1899-12-30T11:49:00"/>
    <n v="4.6500000000000004"/>
    <n v="17920"/>
    <x v="0"/>
    <x v="0"/>
    <n v="13.950000000000001"/>
  </r>
  <r>
    <n v="536412"/>
    <n v="22749"/>
    <x v="12"/>
    <n v="2"/>
    <x v="40"/>
    <d v="1899-12-30T11:49:00"/>
    <n v="3.75"/>
    <n v="17920"/>
    <x v="0"/>
    <x v="0"/>
    <n v="7.5"/>
  </r>
  <r>
    <n v="536412"/>
    <n v="22940"/>
    <x v="370"/>
    <n v="1"/>
    <x v="40"/>
    <d v="1899-12-30T11:49:00"/>
    <n v="4.25"/>
    <n v="17920"/>
    <x v="0"/>
    <x v="0"/>
    <n v="4.25"/>
  </r>
  <r>
    <n v="536412"/>
    <n v="22749"/>
    <x v="12"/>
    <n v="1"/>
    <x v="40"/>
    <d v="1899-12-30T11:49:00"/>
    <n v="3.75"/>
    <n v="17920"/>
    <x v="0"/>
    <x v="0"/>
    <n v="3.75"/>
  </r>
  <r>
    <n v="536412"/>
    <n v="22077"/>
    <x v="374"/>
    <n v="2"/>
    <x v="40"/>
    <d v="1899-12-30T11:49:00"/>
    <n v="1.65"/>
    <n v="17920"/>
    <x v="0"/>
    <x v="0"/>
    <n v="3.3"/>
  </r>
  <r>
    <n v="536412"/>
    <n v="21738"/>
    <x v="373"/>
    <n v="2"/>
    <x v="40"/>
    <d v="1899-12-30T11:49:00"/>
    <n v="2.95"/>
    <n v="17920"/>
    <x v="0"/>
    <x v="0"/>
    <n v="5.9"/>
  </r>
  <r>
    <n v="536412"/>
    <s v="85049E"/>
    <x v="228"/>
    <n v="1"/>
    <x v="40"/>
    <d v="1899-12-30T11:49:00"/>
    <n v="1.25"/>
    <n v="17920"/>
    <x v="0"/>
    <x v="0"/>
    <n v="1.25"/>
  </r>
  <r>
    <n v="536412"/>
    <n v="22243"/>
    <x v="376"/>
    <n v="6"/>
    <x v="40"/>
    <d v="1899-12-30T11:49:00"/>
    <n v="1.65"/>
    <n v="17920"/>
    <x v="0"/>
    <x v="0"/>
    <n v="9.8999999999999986"/>
  </r>
  <r>
    <n v="536412"/>
    <n v="22141"/>
    <x v="377"/>
    <n v="1"/>
    <x v="40"/>
    <d v="1899-12-30T11:49:00"/>
    <n v="2.1"/>
    <n v="17920"/>
    <x v="0"/>
    <x v="0"/>
    <n v="2.1"/>
  </r>
  <r>
    <n v="536412"/>
    <n v="22144"/>
    <x v="378"/>
    <n v="2"/>
    <x v="40"/>
    <d v="1899-12-30T11:49:00"/>
    <n v="2.1"/>
    <n v="17920"/>
    <x v="0"/>
    <x v="0"/>
    <n v="4.2"/>
  </r>
  <r>
    <n v="536412"/>
    <n v="22243"/>
    <x v="376"/>
    <n v="3"/>
    <x v="40"/>
    <d v="1899-12-30T11:49:00"/>
    <n v="1.65"/>
    <n v="17920"/>
    <x v="0"/>
    <x v="0"/>
    <n v="4.9499999999999993"/>
  </r>
  <r>
    <n v="536412"/>
    <n v="22077"/>
    <x v="374"/>
    <n v="7"/>
    <x v="40"/>
    <d v="1899-12-30T11:49:00"/>
    <n v="1.65"/>
    <n v="17920"/>
    <x v="0"/>
    <x v="0"/>
    <n v="11.549999999999999"/>
  </r>
  <r>
    <n v="536412"/>
    <n v="21448"/>
    <x v="375"/>
    <n v="1"/>
    <x v="40"/>
    <d v="1899-12-30T11:49:00"/>
    <n v="1.65"/>
    <n v="17920"/>
    <x v="0"/>
    <x v="0"/>
    <n v="1.65"/>
  </r>
  <r>
    <n v="536412"/>
    <n v="22759"/>
    <x v="371"/>
    <n v="5"/>
    <x v="40"/>
    <d v="1899-12-30T11:49:00"/>
    <n v="1.65"/>
    <n v="17920"/>
    <x v="0"/>
    <x v="0"/>
    <n v="8.25"/>
  </r>
  <r>
    <n v="536412"/>
    <n v="22242"/>
    <x v="153"/>
    <n v="5"/>
    <x v="40"/>
    <d v="1899-12-30T11:49:00"/>
    <n v="1.65"/>
    <n v="17920"/>
    <x v="0"/>
    <x v="0"/>
    <n v="8.25"/>
  </r>
  <r>
    <n v="536412"/>
    <s v="85049E"/>
    <x v="228"/>
    <n v="12"/>
    <x v="40"/>
    <d v="1899-12-30T11:49:00"/>
    <n v="1.25"/>
    <n v="17920"/>
    <x v="0"/>
    <x v="0"/>
    <n v="15"/>
  </r>
  <r>
    <n v="536412"/>
    <n v="21731"/>
    <x v="39"/>
    <n v="5"/>
    <x v="40"/>
    <d v="1899-12-30T11:49:00"/>
    <n v="1.65"/>
    <n v="17920"/>
    <x v="0"/>
    <x v="0"/>
    <n v="8.25"/>
  </r>
  <r>
    <n v="536412"/>
    <n v="22243"/>
    <x v="376"/>
    <n v="1"/>
    <x v="40"/>
    <d v="1899-12-30T11:49:00"/>
    <n v="1.65"/>
    <n v="17920"/>
    <x v="0"/>
    <x v="0"/>
    <n v="1.65"/>
  </r>
  <r>
    <n v="536412"/>
    <n v="21739"/>
    <x v="379"/>
    <n v="2"/>
    <x v="40"/>
    <d v="1899-12-30T11:49:00"/>
    <n v="2.95"/>
    <n v="17920"/>
    <x v="0"/>
    <x v="0"/>
    <n v="5.9"/>
  </r>
  <r>
    <n v="536412"/>
    <n v="21738"/>
    <x v="373"/>
    <n v="5"/>
    <x v="40"/>
    <d v="1899-12-30T11:49:00"/>
    <n v="2.95"/>
    <n v="17920"/>
    <x v="0"/>
    <x v="0"/>
    <n v="14.75"/>
  </r>
  <r>
    <n v="536412"/>
    <n v="22271"/>
    <x v="380"/>
    <n v="2"/>
    <x v="40"/>
    <d v="1899-12-30T11:49:00"/>
    <n v="2.95"/>
    <n v="17920"/>
    <x v="0"/>
    <x v="0"/>
    <n v="5.9"/>
  </r>
  <r>
    <n v="536412"/>
    <n v="22274"/>
    <x v="381"/>
    <n v="2"/>
    <x v="40"/>
    <d v="1899-12-30T11:49:00"/>
    <n v="2.95"/>
    <n v="17920"/>
    <x v="0"/>
    <x v="0"/>
    <n v="5.9"/>
  </r>
  <r>
    <n v="536412"/>
    <n v="22751"/>
    <x v="382"/>
    <n v="2"/>
    <x v="40"/>
    <d v="1899-12-30T11:49:00"/>
    <n v="3.75"/>
    <n v="17920"/>
    <x v="0"/>
    <x v="0"/>
    <n v="7.5"/>
  </r>
  <r>
    <n v="536412"/>
    <n v="21034"/>
    <x v="383"/>
    <n v="1"/>
    <x v="40"/>
    <d v="1899-12-30T11:49:00"/>
    <n v="0.95"/>
    <n v="17920"/>
    <x v="0"/>
    <x v="0"/>
    <n v="0.95"/>
  </r>
  <r>
    <n v="536412"/>
    <n v="22273"/>
    <x v="369"/>
    <n v="2"/>
    <x v="40"/>
    <d v="1899-12-30T11:49:00"/>
    <n v="2.95"/>
    <n v="17920"/>
    <x v="0"/>
    <x v="0"/>
    <n v="5.9"/>
  </r>
  <r>
    <n v="536412"/>
    <n v="22568"/>
    <x v="331"/>
    <n v="3"/>
    <x v="40"/>
    <d v="1899-12-30T11:49:00"/>
    <n v="3.75"/>
    <n v="17920"/>
    <x v="0"/>
    <x v="0"/>
    <n v="11.25"/>
  </r>
  <r>
    <n v="536412"/>
    <n v="22144"/>
    <x v="378"/>
    <n v="1"/>
    <x v="40"/>
    <d v="1899-12-30T11:49:00"/>
    <n v="2.1"/>
    <n v="17920"/>
    <x v="0"/>
    <x v="0"/>
    <n v="2.1"/>
  </r>
  <r>
    <n v="536412"/>
    <n v="22570"/>
    <x v="384"/>
    <n v="3"/>
    <x v="40"/>
    <d v="1899-12-30T11:49:00"/>
    <n v="3.75"/>
    <n v="17920"/>
    <x v="0"/>
    <x v="0"/>
    <n v="11.25"/>
  </r>
  <r>
    <n v="536412"/>
    <n v="22569"/>
    <x v="385"/>
    <n v="2"/>
    <x v="40"/>
    <d v="1899-12-30T11:49:00"/>
    <n v="3.75"/>
    <n v="17920"/>
    <x v="0"/>
    <x v="0"/>
    <n v="7.5"/>
  </r>
  <r>
    <n v="536412"/>
    <n v="22086"/>
    <x v="46"/>
    <n v="1"/>
    <x v="40"/>
    <d v="1899-12-30T11:49:00"/>
    <n v="2.95"/>
    <n v="17920"/>
    <x v="0"/>
    <x v="0"/>
    <n v="2.95"/>
  </r>
  <r>
    <n v="536412"/>
    <n v="22968"/>
    <x v="166"/>
    <n v="4"/>
    <x v="40"/>
    <d v="1899-12-30T11:49:00"/>
    <n v="9.9499999999999993"/>
    <n v="17920"/>
    <x v="0"/>
    <x v="0"/>
    <n v="39.799999999999997"/>
  </r>
  <r>
    <n v="536412"/>
    <n v="22902"/>
    <x v="386"/>
    <n v="7"/>
    <x v="40"/>
    <d v="1899-12-30T11:49:00"/>
    <n v="2.1"/>
    <n v="17920"/>
    <x v="0"/>
    <x v="0"/>
    <n v="14.700000000000001"/>
  </r>
  <r>
    <n v="536412"/>
    <n v="21710"/>
    <x v="387"/>
    <n v="1"/>
    <x v="40"/>
    <d v="1899-12-30T11:49:00"/>
    <n v="4.95"/>
    <n v="17920"/>
    <x v="0"/>
    <x v="0"/>
    <n v="4.95"/>
  </r>
  <r>
    <n v="536412"/>
    <n v="21708"/>
    <x v="388"/>
    <n v="1"/>
    <x v="40"/>
    <d v="1899-12-30T11:49:00"/>
    <n v="4.95"/>
    <n v="17920"/>
    <x v="0"/>
    <x v="0"/>
    <n v="4.95"/>
  </r>
  <r>
    <n v="536412"/>
    <n v="21711"/>
    <x v="389"/>
    <n v="1"/>
    <x v="40"/>
    <d v="1899-12-30T11:49:00"/>
    <n v="4.95"/>
    <n v="17920"/>
    <x v="0"/>
    <x v="0"/>
    <n v="4.95"/>
  </r>
  <r>
    <n v="536412"/>
    <n v="22179"/>
    <x v="390"/>
    <n v="2"/>
    <x v="40"/>
    <d v="1899-12-30T11:49:00"/>
    <n v="6.75"/>
    <n v="17920"/>
    <x v="0"/>
    <x v="0"/>
    <n v="13.5"/>
  </r>
  <r>
    <n v="536412"/>
    <n v="22197"/>
    <x v="170"/>
    <n v="5"/>
    <x v="40"/>
    <d v="1899-12-30T11:49:00"/>
    <n v="0.85"/>
    <n v="17920"/>
    <x v="0"/>
    <x v="0"/>
    <n v="4.25"/>
  </r>
  <r>
    <n v="536412"/>
    <n v="22900"/>
    <x v="40"/>
    <n v="2"/>
    <x v="40"/>
    <d v="1899-12-30T11:49:00"/>
    <n v="2.95"/>
    <n v="17920"/>
    <x v="0"/>
    <x v="0"/>
    <n v="5.9"/>
  </r>
  <r>
    <n v="536412"/>
    <n v="21706"/>
    <x v="391"/>
    <n v="1"/>
    <x v="40"/>
    <d v="1899-12-30T11:49:00"/>
    <n v="4.95"/>
    <n v="17920"/>
    <x v="0"/>
    <x v="0"/>
    <n v="4.95"/>
  </r>
  <r>
    <n v="536412"/>
    <n v="22468"/>
    <x v="212"/>
    <n v="2"/>
    <x v="40"/>
    <d v="1899-12-30T11:49:00"/>
    <n v="6.75"/>
    <n v="17920"/>
    <x v="0"/>
    <x v="0"/>
    <n v="13.5"/>
  </r>
  <r>
    <n v="536412"/>
    <n v="20725"/>
    <x v="66"/>
    <n v="1"/>
    <x v="40"/>
    <d v="1899-12-30T11:49:00"/>
    <n v="1.65"/>
    <n v="17920"/>
    <x v="0"/>
    <x v="0"/>
    <n v="1.65"/>
  </r>
  <r>
    <n v="536412"/>
    <s v="85184C"/>
    <x v="392"/>
    <n v="1"/>
    <x v="40"/>
    <d v="1899-12-30T11:49:00"/>
    <n v="2.95"/>
    <n v="17920"/>
    <x v="0"/>
    <x v="0"/>
    <n v="2.95"/>
  </r>
  <r>
    <n v="536412"/>
    <n v="22988"/>
    <x v="393"/>
    <n v="6"/>
    <x v="40"/>
    <d v="1899-12-30T11:49:00"/>
    <n v="1.25"/>
    <n v="17920"/>
    <x v="0"/>
    <x v="0"/>
    <n v="7.5"/>
  </r>
  <r>
    <n v="536412"/>
    <n v="20750"/>
    <x v="394"/>
    <n v="1"/>
    <x v="40"/>
    <d v="1899-12-30T11:49:00"/>
    <n v="7.95"/>
    <n v="17920"/>
    <x v="0"/>
    <x v="0"/>
    <n v="7.95"/>
  </r>
  <r>
    <n v="536415"/>
    <n v="22952"/>
    <x v="395"/>
    <n v="10"/>
    <x v="41"/>
    <d v="1899-12-30T11:57:00"/>
    <n v="0.55000000000000004"/>
    <n v="12838"/>
    <x v="0"/>
    <x v="0"/>
    <n v="5.5"/>
  </r>
  <r>
    <n v="536415"/>
    <n v="22910"/>
    <x v="168"/>
    <n v="5"/>
    <x v="41"/>
    <d v="1899-12-30T11:57:00"/>
    <n v="2.95"/>
    <n v="12838"/>
    <x v="0"/>
    <x v="0"/>
    <n v="14.75"/>
  </r>
  <r>
    <n v="536415"/>
    <n v="22739"/>
    <x v="396"/>
    <n v="3"/>
    <x v="41"/>
    <d v="1899-12-30T11:57:00"/>
    <n v="1.65"/>
    <n v="12838"/>
    <x v="0"/>
    <x v="0"/>
    <n v="4.9499999999999993"/>
  </r>
  <r>
    <n v="536415"/>
    <n v="22738"/>
    <x v="397"/>
    <n v="3"/>
    <x v="41"/>
    <d v="1899-12-30T11:57:00"/>
    <n v="1.65"/>
    <n v="12838"/>
    <x v="0"/>
    <x v="0"/>
    <n v="4.9499999999999993"/>
  </r>
  <r>
    <n v="536415"/>
    <n v="22736"/>
    <x v="324"/>
    <n v="3"/>
    <x v="41"/>
    <d v="1899-12-30T11:57:00"/>
    <n v="1.65"/>
    <n v="12838"/>
    <x v="0"/>
    <x v="0"/>
    <n v="4.9499999999999993"/>
  </r>
  <r>
    <n v="536415"/>
    <n v="22909"/>
    <x v="398"/>
    <n v="5"/>
    <x v="41"/>
    <d v="1899-12-30T11:57:00"/>
    <n v="0.85"/>
    <n v="12838"/>
    <x v="0"/>
    <x v="0"/>
    <n v="4.25"/>
  </r>
  <r>
    <n v="536415"/>
    <s v="35591T"/>
    <x v="399"/>
    <n v="2"/>
    <x v="41"/>
    <d v="1899-12-30T11:57:00"/>
    <n v="1.25"/>
    <n v="12838"/>
    <x v="0"/>
    <x v="0"/>
    <n v="2.5"/>
  </r>
  <r>
    <n v="536415"/>
    <n v="22186"/>
    <x v="400"/>
    <n v="5"/>
    <x v="41"/>
    <d v="1899-12-30T11:57:00"/>
    <n v="2.95"/>
    <n v="12838"/>
    <x v="0"/>
    <x v="0"/>
    <n v="14.75"/>
  </r>
  <r>
    <n v="536415"/>
    <n v="22695"/>
    <x v="401"/>
    <n v="3"/>
    <x v="41"/>
    <d v="1899-12-30T11:57:00"/>
    <n v="1.45"/>
    <n v="12838"/>
    <x v="0"/>
    <x v="0"/>
    <n v="4.3499999999999996"/>
  </r>
  <r>
    <n v="536415"/>
    <n v="22470"/>
    <x v="128"/>
    <n v="1"/>
    <x v="41"/>
    <d v="1899-12-30T11:57:00"/>
    <n v="2.95"/>
    <n v="12838"/>
    <x v="0"/>
    <x v="0"/>
    <n v="2.95"/>
  </r>
  <r>
    <n v="536415"/>
    <n v="22580"/>
    <x v="402"/>
    <n v="1"/>
    <x v="41"/>
    <d v="1899-12-30T11:57:00"/>
    <n v="5.95"/>
    <n v="12838"/>
    <x v="0"/>
    <x v="0"/>
    <n v="5.95"/>
  </r>
  <r>
    <n v="536415"/>
    <n v="22469"/>
    <x v="127"/>
    <n v="5"/>
    <x v="41"/>
    <d v="1899-12-30T11:57:00"/>
    <n v="1.65"/>
    <n v="12838"/>
    <x v="0"/>
    <x v="0"/>
    <n v="8.25"/>
  </r>
  <r>
    <n v="536415"/>
    <n v="22147"/>
    <x v="403"/>
    <n v="4"/>
    <x v="41"/>
    <d v="1899-12-30T11:57:00"/>
    <n v="1.45"/>
    <n v="12838"/>
    <x v="0"/>
    <x v="0"/>
    <n v="5.8"/>
  </r>
  <r>
    <n v="536415"/>
    <n v="22130"/>
    <x v="404"/>
    <n v="6"/>
    <x v="41"/>
    <d v="1899-12-30T11:57:00"/>
    <n v="0.85"/>
    <n v="12838"/>
    <x v="0"/>
    <x v="0"/>
    <n v="5.0999999999999996"/>
  </r>
  <r>
    <n v="536415"/>
    <n v="21791"/>
    <x v="32"/>
    <n v="3"/>
    <x v="41"/>
    <d v="1899-12-30T11:57:00"/>
    <n v="1.25"/>
    <n v="12838"/>
    <x v="0"/>
    <x v="0"/>
    <n v="3.75"/>
  </r>
  <r>
    <n v="536415"/>
    <n v="22694"/>
    <x v="405"/>
    <n v="5"/>
    <x v="41"/>
    <d v="1899-12-30T11:57:00"/>
    <n v="2.1"/>
    <n v="12838"/>
    <x v="0"/>
    <x v="0"/>
    <n v="10.5"/>
  </r>
  <r>
    <n v="536415"/>
    <n v="21790"/>
    <x v="406"/>
    <n v="3"/>
    <x v="41"/>
    <d v="1899-12-30T11:57:00"/>
    <n v="0.85"/>
    <n v="12838"/>
    <x v="0"/>
    <x v="0"/>
    <n v="2.5499999999999998"/>
  </r>
  <r>
    <n v="536415"/>
    <n v="22149"/>
    <x v="407"/>
    <n v="4"/>
    <x v="41"/>
    <d v="1899-12-30T11:57:00"/>
    <n v="2.1"/>
    <n v="12838"/>
    <x v="0"/>
    <x v="0"/>
    <n v="8.4"/>
  </r>
  <r>
    <n v="536415"/>
    <n v="22900"/>
    <x v="40"/>
    <n v="3"/>
    <x v="41"/>
    <d v="1899-12-30T11:57:00"/>
    <n v="2.95"/>
    <n v="12838"/>
    <x v="0"/>
    <x v="0"/>
    <n v="8.8500000000000014"/>
  </r>
  <r>
    <n v="536415"/>
    <n v="22961"/>
    <x v="78"/>
    <n v="3"/>
    <x v="41"/>
    <d v="1899-12-30T11:57:00"/>
    <n v="1.45"/>
    <n v="12838"/>
    <x v="0"/>
    <x v="0"/>
    <n v="4.3499999999999996"/>
  </r>
  <r>
    <n v="536415"/>
    <n v="22321"/>
    <x v="408"/>
    <n v="12"/>
    <x v="41"/>
    <d v="1899-12-30T11:57:00"/>
    <n v="0.85"/>
    <n v="12838"/>
    <x v="0"/>
    <x v="0"/>
    <n v="10.199999999999999"/>
  </r>
  <r>
    <n v="536415"/>
    <n v="22594"/>
    <x v="409"/>
    <n v="5"/>
    <x v="41"/>
    <d v="1899-12-30T11:57:00"/>
    <n v="0.85"/>
    <n v="12838"/>
    <x v="0"/>
    <x v="0"/>
    <n v="4.25"/>
  </r>
  <r>
    <n v="536415"/>
    <n v="22593"/>
    <x v="410"/>
    <n v="4"/>
    <x v="41"/>
    <d v="1899-12-30T11:57:00"/>
    <n v="0.85"/>
    <n v="12838"/>
    <x v="0"/>
    <x v="0"/>
    <n v="3.4"/>
  </r>
  <r>
    <n v="536415"/>
    <n v="22595"/>
    <x v="411"/>
    <n v="6"/>
    <x v="41"/>
    <d v="1899-12-30T11:57:00"/>
    <n v="0.85"/>
    <n v="12838"/>
    <x v="0"/>
    <x v="0"/>
    <n v="5.0999999999999996"/>
  </r>
  <r>
    <n v="536415"/>
    <n v="21986"/>
    <x v="412"/>
    <n v="12"/>
    <x v="41"/>
    <d v="1899-12-30T11:57:00"/>
    <n v="0.28999999999999998"/>
    <n v="12838"/>
    <x v="0"/>
    <x v="0"/>
    <n v="3.4799999999999995"/>
  </r>
  <r>
    <n v="536415"/>
    <n v="22750"/>
    <x v="413"/>
    <n v="2"/>
    <x v="41"/>
    <d v="1899-12-30T11:57:00"/>
    <n v="3.75"/>
    <n v="12838"/>
    <x v="0"/>
    <x v="0"/>
    <n v="7.5"/>
  </r>
  <r>
    <n v="536415"/>
    <n v="22616"/>
    <x v="414"/>
    <n v="12"/>
    <x v="41"/>
    <d v="1899-12-30T11:57:00"/>
    <n v="0.28999999999999998"/>
    <n v="12838"/>
    <x v="0"/>
    <x v="0"/>
    <n v="3.4799999999999995"/>
  </r>
  <r>
    <n v="536415"/>
    <n v="22775"/>
    <x v="415"/>
    <n v="1"/>
    <x v="41"/>
    <d v="1899-12-30T11:57:00"/>
    <n v="1.25"/>
    <n v="12838"/>
    <x v="0"/>
    <x v="0"/>
    <n v="1.25"/>
  </r>
  <r>
    <n v="536415"/>
    <n v="22899"/>
    <x v="416"/>
    <n v="2"/>
    <x v="41"/>
    <d v="1899-12-30T11:57:00"/>
    <n v="2.1"/>
    <n v="12838"/>
    <x v="0"/>
    <x v="0"/>
    <n v="4.2"/>
  </r>
  <r>
    <n v="536415"/>
    <n v="22367"/>
    <x v="417"/>
    <n v="3"/>
    <x v="41"/>
    <d v="1899-12-30T11:57:00"/>
    <n v="1.95"/>
    <n v="12838"/>
    <x v="0"/>
    <x v="0"/>
    <n v="5.85"/>
  </r>
  <r>
    <n v="536415"/>
    <n v="22942"/>
    <x v="418"/>
    <n v="3"/>
    <x v="41"/>
    <d v="1899-12-30T11:57:00"/>
    <n v="8.5"/>
    <n v="12838"/>
    <x v="0"/>
    <x v="0"/>
    <n v="25.5"/>
  </r>
  <r>
    <n v="536415"/>
    <n v="22941"/>
    <x v="154"/>
    <n v="3"/>
    <x v="41"/>
    <d v="1899-12-30T11:57:00"/>
    <n v="8.5"/>
    <n v="12838"/>
    <x v="0"/>
    <x v="0"/>
    <n v="25.5"/>
  </r>
  <r>
    <n v="536415"/>
    <n v="22086"/>
    <x v="46"/>
    <n v="6"/>
    <x v="41"/>
    <d v="1899-12-30T11:57:00"/>
    <n v="2.95"/>
    <n v="12838"/>
    <x v="0"/>
    <x v="0"/>
    <n v="17.700000000000003"/>
  </r>
  <r>
    <n v="536415"/>
    <n v="22940"/>
    <x v="370"/>
    <n v="2"/>
    <x v="41"/>
    <d v="1899-12-30T11:57:00"/>
    <n v="4.25"/>
    <n v="12838"/>
    <x v="0"/>
    <x v="0"/>
    <n v="8.5"/>
  </r>
  <r>
    <n v="536415"/>
    <n v="21212"/>
    <x v="69"/>
    <n v="2"/>
    <x v="41"/>
    <d v="1899-12-30T11:57:00"/>
    <n v="0.55000000000000004"/>
    <n v="12838"/>
    <x v="0"/>
    <x v="0"/>
    <n v="1.1000000000000001"/>
  </r>
  <r>
    <n v="536415"/>
    <n v="21976"/>
    <x v="419"/>
    <n v="2"/>
    <x v="41"/>
    <d v="1899-12-30T11:57:00"/>
    <n v="0.55000000000000004"/>
    <n v="12838"/>
    <x v="0"/>
    <x v="0"/>
    <n v="1.1000000000000001"/>
  </r>
  <r>
    <n v="536415"/>
    <n v="22951"/>
    <x v="420"/>
    <n v="2"/>
    <x v="41"/>
    <d v="1899-12-30T11:57:00"/>
    <n v="0.55000000000000004"/>
    <n v="12838"/>
    <x v="0"/>
    <x v="0"/>
    <n v="1.1000000000000001"/>
  </r>
  <r>
    <n v="536415"/>
    <n v="21977"/>
    <x v="71"/>
    <n v="3"/>
    <x v="41"/>
    <d v="1899-12-30T11:57:00"/>
    <n v="0.55000000000000004"/>
    <n v="12838"/>
    <x v="0"/>
    <x v="0"/>
    <n v="1.6500000000000001"/>
  </r>
  <r>
    <n v="536415"/>
    <n v="22834"/>
    <x v="421"/>
    <n v="3"/>
    <x v="41"/>
    <d v="1899-12-30T11:57:00"/>
    <n v="2.1"/>
    <n v="12838"/>
    <x v="0"/>
    <x v="0"/>
    <n v="6.3000000000000007"/>
  </r>
  <r>
    <n v="536415"/>
    <n v="22867"/>
    <x v="208"/>
    <n v="3"/>
    <x v="41"/>
    <d v="1899-12-30T11:57:00"/>
    <n v="2.1"/>
    <n v="12838"/>
    <x v="0"/>
    <x v="0"/>
    <n v="6.3000000000000007"/>
  </r>
  <r>
    <n v="536415"/>
    <n v="22865"/>
    <x v="198"/>
    <n v="3"/>
    <x v="41"/>
    <d v="1899-12-30T11:57:00"/>
    <n v="2.1"/>
    <n v="12838"/>
    <x v="0"/>
    <x v="0"/>
    <n v="6.3000000000000007"/>
  </r>
  <r>
    <n v="536415"/>
    <n v="22632"/>
    <x v="199"/>
    <n v="3"/>
    <x v="41"/>
    <d v="1899-12-30T11:57:00"/>
    <n v="2.1"/>
    <n v="12838"/>
    <x v="0"/>
    <x v="0"/>
    <n v="6.3000000000000007"/>
  </r>
  <r>
    <n v="536415"/>
    <n v="21916"/>
    <x v="422"/>
    <n v="2"/>
    <x v="41"/>
    <d v="1899-12-30T11:57:00"/>
    <n v="0.42"/>
    <n v="12838"/>
    <x v="0"/>
    <x v="0"/>
    <n v="0.84"/>
  </r>
  <r>
    <n v="536415"/>
    <n v="22587"/>
    <x v="423"/>
    <n v="4"/>
    <x v="41"/>
    <d v="1899-12-30T11:57:00"/>
    <n v="0.85"/>
    <n v="12838"/>
    <x v="0"/>
    <x v="0"/>
    <n v="3.4"/>
  </r>
  <r>
    <n v="536415"/>
    <n v="22566"/>
    <x v="424"/>
    <n v="3"/>
    <x v="41"/>
    <d v="1899-12-30T11:57:00"/>
    <n v="0.85"/>
    <n v="12838"/>
    <x v="0"/>
    <x v="0"/>
    <n v="2.5499999999999998"/>
  </r>
  <r>
    <n v="536415"/>
    <n v="22565"/>
    <x v="425"/>
    <n v="3"/>
    <x v="41"/>
    <d v="1899-12-30T11:57:00"/>
    <n v="0.85"/>
    <n v="12838"/>
    <x v="0"/>
    <x v="0"/>
    <n v="2.5499999999999998"/>
  </r>
  <r>
    <n v="536415"/>
    <n v="22472"/>
    <x v="426"/>
    <n v="2"/>
    <x v="41"/>
    <d v="1899-12-30T11:57:00"/>
    <n v="4.95"/>
    <n v="12838"/>
    <x v="0"/>
    <x v="0"/>
    <n v="9.9"/>
  </r>
  <r>
    <n v="536415"/>
    <n v="22557"/>
    <x v="184"/>
    <n v="3"/>
    <x v="41"/>
    <d v="1899-12-30T11:57:00"/>
    <n v="1.65"/>
    <n v="12838"/>
    <x v="0"/>
    <x v="0"/>
    <n v="4.9499999999999993"/>
  </r>
  <r>
    <n v="536415"/>
    <n v="22551"/>
    <x v="427"/>
    <n v="3"/>
    <x v="41"/>
    <d v="1899-12-30T11:57:00"/>
    <n v="1.65"/>
    <n v="12838"/>
    <x v="0"/>
    <x v="0"/>
    <n v="4.9499999999999993"/>
  </r>
  <r>
    <n v="536415"/>
    <n v="22554"/>
    <x v="428"/>
    <n v="3"/>
    <x v="41"/>
    <d v="1899-12-30T11:57:00"/>
    <n v="1.65"/>
    <n v="12838"/>
    <x v="0"/>
    <x v="0"/>
    <n v="4.9499999999999993"/>
  </r>
  <r>
    <n v="536415"/>
    <n v="22534"/>
    <x v="429"/>
    <n v="3"/>
    <x v="41"/>
    <d v="1899-12-30T11:57:00"/>
    <n v="0.42"/>
    <n v="12838"/>
    <x v="0"/>
    <x v="0"/>
    <n v="1.26"/>
  </r>
  <r>
    <n v="536415"/>
    <n v="22531"/>
    <x v="342"/>
    <n v="3"/>
    <x v="41"/>
    <d v="1899-12-30T11:57:00"/>
    <n v="0.42"/>
    <n v="12838"/>
    <x v="0"/>
    <x v="0"/>
    <n v="1.26"/>
  </r>
  <r>
    <n v="536415"/>
    <n v="22529"/>
    <x v="430"/>
    <n v="3"/>
    <x v="41"/>
    <d v="1899-12-30T11:57:00"/>
    <n v="0.42"/>
    <n v="12838"/>
    <x v="0"/>
    <x v="0"/>
    <n v="1.26"/>
  </r>
  <r>
    <n v="536415"/>
    <n v="22530"/>
    <x v="431"/>
    <n v="3"/>
    <x v="41"/>
    <d v="1899-12-30T11:57:00"/>
    <n v="0.42"/>
    <n v="12838"/>
    <x v="0"/>
    <x v="0"/>
    <n v="1.26"/>
  </r>
  <r>
    <n v="536415"/>
    <s v="84032B"/>
    <x v="432"/>
    <n v="3"/>
    <x v="41"/>
    <d v="1899-12-30T11:57:00"/>
    <n v="2.95"/>
    <n v="12838"/>
    <x v="0"/>
    <x v="0"/>
    <n v="8.8500000000000014"/>
  </r>
  <r>
    <n v="536415"/>
    <n v="22837"/>
    <x v="274"/>
    <n v="3"/>
    <x v="41"/>
    <d v="1899-12-30T11:57:00"/>
    <n v="4.6500000000000004"/>
    <n v="12838"/>
    <x v="0"/>
    <x v="0"/>
    <n v="13.950000000000001"/>
  </r>
  <r>
    <n v="536415"/>
    <s v="85049H"/>
    <x v="433"/>
    <n v="2"/>
    <x v="41"/>
    <d v="1899-12-30T11:57:00"/>
    <n v="1.25"/>
    <n v="12838"/>
    <x v="0"/>
    <x v="0"/>
    <n v="2.5"/>
  </r>
  <r>
    <n v="536415"/>
    <n v="22749"/>
    <x v="12"/>
    <n v="2"/>
    <x v="41"/>
    <d v="1899-12-30T11:57:00"/>
    <n v="3.75"/>
    <n v="12838"/>
    <x v="0"/>
    <x v="0"/>
    <n v="7.5"/>
  </r>
  <r>
    <n v="536415"/>
    <n v="22807"/>
    <x v="434"/>
    <n v="12"/>
    <x v="41"/>
    <d v="1899-12-30T11:57:00"/>
    <n v="2.95"/>
    <n v="12838"/>
    <x v="0"/>
    <x v="0"/>
    <n v="35.400000000000006"/>
  </r>
  <r>
    <n v="536416"/>
    <n v="21494"/>
    <x v="435"/>
    <n v="12"/>
    <x v="42"/>
    <d v="1899-12-30T11:58:00"/>
    <n v="1.25"/>
    <n v="13255"/>
    <x v="0"/>
    <x v="0"/>
    <n v="15"/>
  </r>
  <r>
    <n v="536416"/>
    <n v="21915"/>
    <x v="301"/>
    <n v="72"/>
    <x v="42"/>
    <d v="1899-12-30T11:58:00"/>
    <n v="1.25"/>
    <n v="13255"/>
    <x v="0"/>
    <x v="0"/>
    <n v="90"/>
  </r>
  <r>
    <n v="536416"/>
    <n v="22938"/>
    <x v="436"/>
    <n v="12"/>
    <x v="42"/>
    <d v="1899-12-30T11:58:00"/>
    <n v="1.95"/>
    <n v="13255"/>
    <x v="0"/>
    <x v="0"/>
    <n v="23.4"/>
  </r>
  <r>
    <n v="536416"/>
    <n v="22768"/>
    <x v="235"/>
    <n v="4"/>
    <x v="42"/>
    <d v="1899-12-30T11:58:00"/>
    <n v="9.9499999999999993"/>
    <n v="13255"/>
    <x v="0"/>
    <x v="0"/>
    <n v="39.799999999999997"/>
  </r>
  <r>
    <n v="536416"/>
    <n v="22767"/>
    <x v="234"/>
    <n v="4"/>
    <x v="42"/>
    <d v="1899-12-30T11:58:00"/>
    <n v="9.9499999999999993"/>
    <n v="13255"/>
    <x v="0"/>
    <x v="0"/>
    <n v="39.799999999999997"/>
  </r>
  <r>
    <n v="536416"/>
    <s v="82494L"/>
    <x v="55"/>
    <n v="6"/>
    <x v="42"/>
    <d v="1899-12-30T11:58:00"/>
    <n v="2.95"/>
    <n v="13255"/>
    <x v="0"/>
    <x v="0"/>
    <n v="17.700000000000003"/>
  </r>
  <r>
    <n v="536420"/>
    <n v="21889"/>
    <x v="189"/>
    <n v="12"/>
    <x v="43"/>
    <d v="1899-12-30T12:03:00"/>
    <n v="1.25"/>
    <n v="16583"/>
    <x v="0"/>
    <x v="0"/>
    <n v="15"/>
  </r>
  <r>
    <n v="536420"/>
    <n v="21892"/>
    <x v="437"/>
    <n v="12"/>
    <x v="43"/>
    <d v="1899-12-30T12:03:00"/>
    <n v="1.25"/>
    <n v="16583"/>
    <x v="0"/>
    <x v="0"/>
    <n v="15"/>
  </r>
  <r>
    <n v="536420"/>
    <n v="21891"/>
    <x v="188"/>
    <n v="12"/>
    <x v="43"/>
    <d v="1899-12-30T12:03:00"/>
    <n v="1.25"/>
    <n v="16583"/>
    <x v="0"/>
    <x v="0"/>
    <n v="15"/>
  </r>
  <r>
    <n v="536420"/>
    <n v="21890"/>
    <x v="438"/>
    <n v="6"/>
    <x v="43"/>
    <d v="1899-12-30T12:03:00"/>
    <n v="2.95"/>
    <n v="16583"/>
    <x v="0"/>
    <x v="0"/>
    <n v="17.700000000000003"/>
  </r>
  <r>
    <n v="536420"/>
    <n v="21718"/>
    <x v="439"/>
    <n v="12"/>
    <x v="43"/>
    <d v="1899-12-30T12:03:00"/>
    <n v="1.25"/>
    <n v="16583"/>
    <x v="0"/>
    <x v="0"/>
    <n v="15"/>
  </r>
  <r>
    <n v="536420"/>
    <n v="21716"/>
    <x v="440"/>
    <n v="8"/>
    <x v="43"/>
    <d v="1899-12-30T12:03:00"/>
    <n v="2.5499999999999998"/>
    <n v="16583"/>
    <x v="0"/>
    <x v="0"/>
    <n v="20.399999999999999"/>
  </r>
  <r>
    <n v="536420"/>
    <n v="21715"/>
    <x v="441"/>
    <n v="8"/>
    <x v="43"/>
    <d v="1899-12-30T12:03:00"/>
    <n v="2.5499999999999998"/>
    <n v="16583"/>
    <x v="0"/>
    <x v="0"/>
    <n v="20.399999999999999"/>
  </r>
  <r>
    <n v="536420"/>
    <n v="22113"/>
    <x v="442"/>
    <n v="4"/>
    <x v="43"/>
    <d v="1899-12-30T12:03:00"/>
    <n v="3.75"/>
    <n v="16583"/>
    <x v="0"/>
    <x v="0"/>
    <n v="15"/>
  </r>
  <r>
    <n v="536420"/>
    <n v="22111"/>
    <x v="220"/>
    <n v="3"/>
    <x v="43"/>
    <d v="1899-12-30T12:03:00"/>
    <n v="4.95"/>
    <n v="16583"/>
    <x v="0"/>
    <x v="0"/>
    <n v="14.850000000000001"/>
  </r>
  <r>
    <n v="536420"/>
    <n v="22110"/>
    <x v="221"/>
    <n v="6"/>
    <x v="43"/>
    <d v="1899-12-30T12:03:00"/>
    <n v="2.5499999999999998"/>
    <n v="16583"/>
    <x v="0"/>
    <x v="0"/>
    <n v="15.299999999999999"/>
  </r>
  <r>
    <n v="536420"/>
    <n v="22358"/>
    <x v="443"/>
    <n v="6"/>
    <x v="43"/>
    <d v="1899-12-30T12:03:00"/>
    <n v="2.95"/>
    <n v="16583"/>
    <x v="0"/>
    <x v="0"/>
    <n v="17.700000000000003"/>
  </r>
  <r>
    <n v="536420"/>
    <n v="22357"/>
    <x v="444"/>
    <n v="4"/>
    <x v="43"/>
    <d v="1899-12-30T12:03:00"/>
    <n v="4.25"/>
    <n v="16583"/>
    <x v="0"/>
    <x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3A0B7-2B25-40FA-B5F6-9F01A3B709F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25:F36" firstHeaderRow="1" firstDataRow="1" firstDataCol="1"/>
  <pivotFields count="11">
    <pivotField showAll="0"/>
    <pivotField showAll="0"/>
    <pivotField showAll="0"/>
    <pivotField numFmtId="1" showAll="0"/>
    <pivotField axis="axisRow" numFmtId="14" showAll="0" measureFilter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umFmtId="20" showAll="0"/>
    <pivotField numFmtId="164" showAll="0"/>
    <pivotField showAll="0"/>
    <pivotField showAll="0"/>
    <pivotField showAll="0"/>
    <pivotField dataField="1" numFmtId="164" showAll="0"/>
  </pivotFields>
  <rowFields count="1">
    <field x="4"/>
  </rowFields>
  <rowItems count="11">
    <i>
      <x v="5"/>
    </i>
    <i>
      <x v="10"/>
    </i>
    <i>
      <x v="16"/>
    </i>
    <i>
      <x v="18"/>
    </i>
    <i>
      <x v="19"/>
    </i>
    <i>
      <x v="22"/>
    </i>
    <i>
      <x v="26"/>
    </i>
    <i>
      <x v="27"/>
    </i>
    <i>
      <x v="28"/>
    </i>
    <i>
      <x v="38"/>
    </i>
    <i t="grand">
      <x/>
    </i>
  </rowItems>
  <colItems count="1">
    <i/>
  </colItems>
  <dataFields count="1">
    <dataField name="Sum of Total transaction value" fld="10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ED4D4-CA70-44C6-9301-A1BAC088E8B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5:B31" firstHeaderRow="1" firstDataRow="1" firstDataCol="1"/>
  <pivotFields count="11">
    <pivotField showAll="0"/>
    <pivotField showAll="0"/>
    <pivotField axis="axisRow" showAll="0" measureFilter="1" sortType="descending">
      <items count="446">
        <item x="40"/>
        <item x="306"/>
        <item x="375"/>
        <item x="300"/>
        <item x="289"/>
        <item x="186"/>
        <item x="118"/>
        <item x="119"/>
        <item x="325"/>
        <item x="153"/>
        <item x="376"/>
        <item x="327"/>
        <item x="351"/>
        <item x="374"/>
        <item x="354"/>
        <item x="420"/>
        <item x="395"/>
        <item x="72"/>
        <item x="292"/>
        <item x="402"/>
        <item x="352"/>
        <item x="318"/>
        <item x="82"/>
        <item x="28"/>
        <item x="206"/>
        <item x="207"/>
        <item x="26"/>
        <item x="27"/>
        <item x="359"/>
        <item x="116"/>
        <item x="254"/>
        <item x="148"/>
        <item x="9"/>
        <item x="264"/>
        <item x="212"/>
        <item x="326"/>
        <item x="107"/>
        <item x="229"/>
        <item x="25"/>
        <item x="242"/>
        <item x="408"/>
        <item x="221"/>
        <item x="332"/>
        <item x="204"/>
        <item x="347"/>
        <item x="256"/>
        <item x="158"/>
        <item x="64"/>
        <item x="24"/>
        <item x="160"/>
        <item x="278"/>
        <item x="302"/>
        <item x="269"/>
        <item x="106"/>
        <item x="366"/>
        <item x="353"/>
        <item x="222"/>
        <item x="14"/>
        <item x="16"/>
        <item x="15"/>
        <item x="440"/>
        <item x="272"/>
        <item x="282"/>
        <item x="344"/>
        <item x="263"/>
        <item x="321"/>
        <item x="316"/>
        <item x="100"/>
        <item x="105"/>
        <item x="74"/>
        <item x="432"/>
        <item x="38"/>
        <item x="183"/>
        <item x="416"/>
        <item x="417"/>
        <item x="330"/>
        <item x="141"/>
        <item x="283"/>
        <item x="113"/>
        <item x="218"/>
        <item x="378"/>
        <item x="377"/>
        <item x="411"/>
        <item x="410"/>
        <item x="409"/>
        <item x="343"/>
        <item x="154"/>
        <item x="418"/>
        <item x="37"/>
        <item x="130"/>
        <item x="338"/>
        <item x="85"/>
        <item x="201"/>
        <item x="123"/>
        <item x="91"/>
        <item x="261"/>
        <item x="373"/>
        <item x="379"/>
        <item x="2"/>
        <item x="131"/>
        <item x="436"/>
        <item x="175"/>
        <item x="169"/>
        <item x="237"/>
        <item x="111"/>
        <item x="200"/>
        <item x="364"/>
        <item x="213"/>
        <item x="110"/>
        <item x="312"/>
        <item x="20"/>
        <item x="311"/>
        <item x="241"/>
        <item x="339"/>
        <item x="103"/>
        <item x="104"/>
        <item x="47"/>
        <item x="134"/>
        <item x="133"/>
        <item x="132"/>
        <item x="177"/>
        <item x="271"/>
        <item x="144"/>
        <item x="235"/>
        <item x="196"/>
        <item x="87"/>
        <item x="98"/>
        <item x="407"/>
        <item x="403"/>
        <item x="370"/>
        <item x="385"/>
        <item x="331"/>
        <item x="384"/>
        <item x="381"/>
        <item x="369"/>
        <item x="380"/>
        <item x="424"/>
        <item x="423"/>
        <item x="425"/>
        <item x="12"/>
        <item x="413"/>
        <item x="382"/>
        <item x="147"/>
        <item x="346"/>
        <item x="388"/>
        <item x="387"/>
        <item x="391"/>
        <item x="389"/>
        <item x="151"/>
        <item x="149"/>
        <item x="341"/>
        <item x="92"/>
        <item x="146"/>
        <item x="441"/>
        <item x="80"/>
        <item x="108"/>
        <item x="6"/>
        <item x="277"/>
        <item x="365"/>
        <item x="442"/>
        <item x="247"/>
        <item x="268"/>
        <item x="109"/>
        <item x="202"/>
        <item x="421"/>
        <item x="208"/>
        <item x="198"/>
        <item x="8"/>
        <item x="199"/>
        <item x="197"/>
        <item x="7"/>
        <item x="167"/>
        <item x="125"/>
        <item x="124"/>
        <item x="309"/>
        <item x="296"/>
        <item x="275"/>
        <item x="128"/>
        <item x="127"/>
        <item x="17"/>
        <item x="145"/>
        <item x="150"/>
        <item x="274"/>
        <item x="217"/>
        <item x="57"/>
        <item x="246"/>
        <item x="31"/>
        <item x="161"/>
        <item x="209"/>
        <item x="117"/>
        <item x="13"/>
        <item x="165"/>
        <item x="164"/>
        <item x="78"/>
        <item x="21"/>
        <item x="262"/>
        <item x="60"/>
        <item x="61"/>
        <item x="135"/>
        <item x="355"/>
        <item x="59"/>
        <item x="77"/>
        <item x="140"/>
        <item x="360"/>
        <item x="81"/>
        <item x="76"/>
        <item x="444"/>
        <item x="443"/>
        <item x="243"/>
        <item x="3"/>
        <item x="239"/>
        <item x="162"/>
        <item x="171"/>
        <item x="230"/>
        <item x="142"/>
        <item x="18"/>
        <item x="314"/>
        <item x="295"/>
        <item x="294"/>
        <item x="138"/>
        <item x="267"/>
        <item x="66"/>
        <item x="265"/>
        <item x="293"/>
        <item x="266"/>
        <item x="36"/>
        <item x="68"/>
        <item x="299"/>
        <item x="342"/>
        <item x="298"/>
        <item x="431"/>
        <item x="430"/>
        <item x="429"/>
        <item x="240"/>
        <item x="245"/>
        <item x="42"/>
        <item x="43"/>
        <item x="44"/>
        <item x="236"/>
        <item x="126"/>
        <item x="313"/>
        <item x="137"/>
        <item x="356"/>
        <item x="304"/>
        <item x="322"/>
        <item x="181"/>
        <item x="414"/>
        <item x="180"/>
        <item x="412"/>
        <item x="182"/>
        <item x="70"/>
        <item x="419"/>
        <item x="71"/>
        <item x="291"/>
        <item x="69"/>
        <item x="290"/>
        <item x="358"/>
        <item x="357"/>
        <item x="345"/>
        <item x="29"/>
        <item x="46"/>
        <item x="95"/>
        <item x="168"/>
        <item x="404"/>
        <item x="192"/>
        <item x="191"/>
        <item x="284"/>
        <item x="285"/>
        <item x="286"/>
        <item x="348"/>
        <item x="315"/>
        <item x="86"/>
        <item x="178"/>
        <item x="224"/>
        <item x="193"/>
        <item x="226"/>
        <item x="88"/>
        <item x="368"/>
        <item x="349"/>
        <item x="94"/>
        <item x="215"/>
        <item x="276"/>
        <item x="270"/>
        <item x="259"/>
        <item x="350"/>
        <item x="179"/>
        <item x="185"/>
        <item x="427"/>
        <item x="184"/>
        <item x="428"/>
        <item x="174"/>
        <item x="10"/>
        <item x="11"/>
        <item x="45"/>
        <item x="415"/>
        <item x="19"/>
        <item x="114"/>
        <item x="301"/>
        <item x="63"/>
        <item x="75"/>
        <item x="22"/>
        <item x="159"/>
        <item x="84"/>
        <item x="337"/>
        <item x="58"/>
        <item x="336"/>
        <item x="439"/>
        <item x="394"/>
        <item x="211"/>
        <item x="367"/>
        <item x="372"/>
        <item x="157"/>
        <item x="400"/>
        <item x="39"/>
        <item x="4"/>
        <item x="48"/>
        <item x="260"/>
        <item x="176"/>
        <item x="195"/>
        <item x="101"/>
        <item x="79"/>
        <item x="383"/>
        <item x="396"/>
        <item x="324"/>
        <item x="397"/>
        <item x="281"/>
        <item x="152"/>
        <item x="166"/>
        <item x="435"/>
        <item x="323"/>
        <item x="362"/>
        <item x="363"/>
        <item x="34"/>
        <item x="190"/>
        <item x="392"/>
        <item x="227"/>
        <item x="438"/>
        <item x="253"/>
        <item x="49"/>
        <item x="228"/>
        <item x="220"/>
        <item x="390"/>
        <item x="334"/>
        <item x="422"/>
        <item x="249"/>
        <item x="120"/>
        <item x="279"/>
        <item x="5"/>
        <item x="305"/>
        <item x="398"/>
        <item x="210"/>
        <item x="287"/>
        <item x="121"/>
        <item x="156"/>
        <item x="288"/>
        <item x="371"/>
        <item x="233"/>
        <item x="232"/>
        <item x="102"/>
        <item x="280"/>
        <item x="187"/>
        <item x="251"/>
        <item x="250"/>
        <item x="434"/>
        <item x="319"/>
        <item x="252"/>
        <item x="248"/>
        <item x="33"/>
        <item x="172"/>
        <item x="297"/>
        <item x="173"/>
        <item x="65"/>
        <item x="216"/>
        <item x="225"/>
        <item x="310"/>
        <item x="238"/>
        <item x="308"/>
        <item x="89"/>
        <item x="303"/>
        <item x="223"/>
        <item x="320"/>
        <item x="205"/>
        <item x="96"/>
        <item x="163"/>
        <item x="170"/>
        <item x="258"/>
        <item x="393"/>
        <item x="329"/>
        <item x="35"/>
        <item x="328"/>
        <item x="194"/>
        <item x="257"/>
        <item x="30"/>
        <item x="255"/>
        <item x="214"/>
        <item x="62"/>
        <item x="67"/>
        <item x="361"/>
        <item x="97"/>
        <item x="273"/>
        <item x="244"/>
        <item x="73"/>
        <item x="386"/>
        <item x="333"/>
        <item x="115"/>
        <item x="136"/>
        <item x="437"/>
        <item x="188"/>
        <item x="203"/>
        <item x="234"/>
        <item x="399"/>
        <item x="426"/>
        <item x="231"/>
        <item x="335"/>
        <item x="433"/>
        <item x="340"/>
        <item x="307"/>
        <item x="56"/>
        <item x="50"/>
        <item x="51"/>
        <item x="32"/>
        <item x="41"/>
        <item x="112"/>
        <item x="406"/>
        <item x="155"/>
        <item x="0"/>
        <item x="129"/>
        <item x="1"/>
        <item x="219"/>
        <item x="83"/>
        <item x="139"/>
        <item x="405"/>
        <item x="401"/>
        <item x="52"/>
        <item x="122"/>
        <item x="53"/>
        <item x="189"/>
        <item x="55"/>
        <item x="143"/>
        <item x="54"/>
        <item x="317"/>
        <item x="93"/>
        <item x="23"/>
        <item x="90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4" showAll="0"/>
    <pivotField numFmtId="20" showAll="0"/>
    <pivotField numFmtId="164" showAll="0"/>
    <pivotField showAll="0"/>
    <pivotField showAll="0"/>
    <pivotField showAll="0"/>
    <pivotField numFmtId="164" showAll="0"/>
  </pivotFields>
  <rowFields count="1">
    <field x="2"/>
  </rowFields>
  <rowItems count="6">
    <i>
      <x v="313"/>
    </i>
    <i>
      <x v="122"/>
    </i>
    <i>
      <x v="102"/>
    </i>
    <i>
      <x v="202"/>
    </i>
    <i>
      <x v="254"/>
    </i>
    <i t="grand">
      <x/>
    </i>
  </rowItems>
  <colItems count="1">
    <i/>
  </colItems>
  <dataFields count="1">
    <dataField name="Sum of Units Sold " fld="3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BA5C2-2A3E-4F2F-9246-C17AA93CD4C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3:F6" firstHeaderRow="1" firstDataRow="1" firstDataCol="1"/>
  <pivotFields count="11">
    <pivotField showAll="0"/>
    <pivotField showAll="0"/>
    <pivotField showAll="0"/>
    <pivotField numFmtId="1" showAll="0"/>
    <pivotField numFmtId="14" showAll="0"/>
    <pivotField numFmtId="20" showAll="0"/>
    <pivotField numFmtId="164" showAll="0"/>
    <pivotField showAll="0"/>
    <pivotField showAll="0"/>
    <pivotField axis="axisRow" showAll="0">
      <items count="3">
        <item x="1"/>
        <item x="0"/>
        <item t="default"/>
      </items>
    </pivotField>
    <pivotField dataField="1" numFmtId="164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Total transaction value" fld="10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BAD2D-C4FD-403B-9BBF-06A6F04E89D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1">
    <pivotField showAll="0"/>
    <pivotField showAll="0"/>
    <pivotField showAll="0"/>
    <pivotField numFmtId="1" showAll="0"/>
    <pivotField numFmtId="14" showAll="0"/>
    <pivotField numFmtId="20" showAll="0"/>
    <pivotField numFmtId="164"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numFmtId="164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transaction value" fld="10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0"/>
  <sheetViews>
    <sheetView tabSelected="1" topLeftCell="A138" zoomScaleNormal="100" workbookViewId="0">
      <selection activeCell="E122" sqref="E122:E128"/>
    </sheetView>
  </sheetViews>
  <sheetFormatPr defaultRowHeight="15.5" x14ac:dyDescent="0.35"/>
  <cols>
    <col min="1" max="1" width="12" style="1" customWidth="1"/>
    <col min="2" max="2" width="18.36328125" style="1" customWidth="1"/>
    <col min="3" max="3" width="41.6328125" style="1" customWidth="1"/>
    <col min="4" max="4" width="20.90625" style="11" customWidth="1"/>
    <col min="5" max="5" width="28.1796875" style="2" customWidth="1"/>
    <col min="6" max="6" width="20.81640625" style="1" customWidth="1"/>
    <col min="7" max="7" width="21.36328125" style="8" customWidth="1"/>
    <col min="8" max="8" width="20.81640625" style="1" customWidth="1"/>
    <col min="9" max="9" width="17.1796875" style="1" customWidth="1"/>
    <col min="10" max="10" width="17.36328125" style="1" customWidth="1"/>
    <col min="11" max="11" width="23.81640625" style="8" customWidth="1"/>
    <col min="12" max="12" width="19.08984375" style="19" customWidth="1"/>
  </cols>
  <sheetData>
    <row r="1" spans="1:12" ht="21.5" customHeight="1" x14ac:dyDescent="0.35">
      <c r="A1" s="12" t="s">
        <v>0</v>
      </c>
      <c r="B1" s="12" t="s">
        <v>62</v>
      </c>
      <c r="C1" s="12" t="s">
        <v>1</v>
      </c>
      <c r="D1" s="13" t="s">
        <v>63</v>
      </c>
      <c r="E1" s="14" t="s">
        <v>64</v>
      </c>
      <c r="F1" s="12" t="s">
        <v>65</v>
      </c>
      <c r="G1" s="15" t="s">
        <v>2</v>
      </c>
      <c r="H1" s="12" t="s">
        <v>3</v>
      </c>
      <c r="I1" s="12" t="s">
        <v>66</v>
      </c>
      <c r="J1" s="12" t="s">
        <v>61</v>
      </c>
      <c r="K1" s="15" t="s">
        <v>67</v>
      </c>
      <c r="L1" s="15" t="s">
        <v>518</v>
      </c>
    </row>
    <row r="2" spans="1:12" x14ac:dyDescent="0.35">
      <c r="A2" s="3">
        <v>536365</v>
      </c>
      <c r="B2" s="3" t="s">
        <v>4</v>
      </c>
      <c r="C2" s="3" t="s">
        <v>68</v>
      </c>
      <c r="D2" s="9">
        <v>6</v>
      </c>
      <c r="E2" s="4">
        <v>40179</v>
      </c>
      <c r="F2" s="5">
        <v>0.35138888888888886</v>
      </c>
      <c r="G2" s="6">
        <v>2.5499999999999998</v>
      </c>
      <c r="H2" s="3">
        <v>17850</v>
      </c>
      <c r="I2" s="3" t="s">
        <v>5</v>
      </c>
      <c r="J2" s="3" t="str">
        <f t="shared" ref="J2:J65" si="0">IF(D2&lt;1,"Return","Sale")</f>
        <v>Sale</v>
      </c>
      <c r="K2" s="6">
        <f t="shared" ref="K2:K65" si="1">D2*G2</f>
        <v>15.299999999999999</v>
      </c>
      <c r="L2" s="6">
        <f xml:space="preserve"> ABS(K2)</f>
        <v>15.299999999999999</v>
      </c>
    </row>
    <row r="3" spans="1:12" x14ac:dyDescent="0.35">
      <c r="A3" s="3">
        <v>536365</v>
      </c>
      <c r="B3" s="3">
        <v>71053</v>
      </c>
      <c r="C3" s="3" t="s">
        <v>69</v>
      </c>
      <c r="D3" s="9">
        <v>6</v>
      </c>
      <c r="E3" s="4">
        <v>40180</v>
      </c>
      <c r="F3" s="5">
        <v>0.35138888888888886</v>
      </c>
      <c r="G3" s="6">
        <v>3.39</v>
      </c>
      <c r="H3" s="3">
        <v>17850</v>
      </c>
      <c r="I3" s="3" t="s">
        <v>5</v>
      </c>
      <c r="J3" s="3" t="str">
        <f t="shared" si="0"/>
        <v>Sale</v>
      </c>
      <c r="K3" s="6">
        <f t="shared" si="1"/>
        <v>20.34</v>
      </c>
      <c r="L3" s="6">
        <f t="shared" ref="L3:L66" si="2" xml:space="preserve"> ABS(K3)</f>
        <v>20.34</v>
      </c>
    </row>
    <row r="4" spans="1:12" x14ac:dyDescent="0.35">
      <c r="A4" s="3">
        <v>536365</v>
      </c>
      <c r="B4" s="3" t="s">
        <v>6</v>
      </c>
      <c r="C4" s="3" t="s">
        <v>70</v>
      </c>
      <c r="D4" s="9">
        <v>8</v>
      </c>
      <c r="E4" s="4">
        <v>40181</v>
      </c>
      <c r="F4" s="5">
        <v>0.35138888888888886</v>
      </c>
      <c r="G4" s="6">
        <v>2.75</v>
      </c>
      <c r="H4" s="3">
        <v>17850</v>
      </c>
      <c r="I4" s="3" t="s">
        <v>5</v>
      </c>
      <c r="J4" s="3" t="str">
        <f t="shared" si="0"/>
        <v>Sale</v>
      </c>
      <c r="K4" s="6">
        <f t="shared" si="1"/>
        <v>22</v>
      </c>
      <c r="L4" s="6">
        <f t="shared" si="2"/>
        <v>22</v>
      </c>
    </row>
    <row r="5" spans="1:12" x14ac:dyDescent="0.35">
      <c r="A5" s="3">
        <v>536365</v>
      </c>
      <c r="B5" s="3" t="s">
        <v>7</v>
      </c>
      <c r="C5" s="3" t="s">
        <v>71</v>
      </c>
      <c r="D5" s="9">
        <v>6</v>
      </c>
      <c r="E5" s="4">
        <v>40182</v>
      </c>
      <c r="F5" s="5">
        <v>0.35138888888888886</v>
      </c>
      <c r="G5" s="6">
        <v>3.39</v>
      </c>
      <c r="H5" s="3">
        <v>17850</v>
      </c>
      <c r="I5" s="3" t="s">
        <v>5</v>
      </c>
      <c r="J5" s="3" t="str">
        <f t="shared" si="0"/>
        <v>Sale</v>
      </c>
      <c r="K5" s="6">
        <f t="shared" si="1"/>
        <v>20.34</v>
      </c>
      <c r="L5" s="6">
        <f t="shared" si="2"/>
        <v>20.34</v>
      </c>
    </row>
    <row r="6" spans="1:12" x14ac:dyDescent="0.35">
      <c r="A6" s="3">
        <v>536365</v>
      </c>
      <c r="B6" s="3" t="s">
        <v>8</v>
      </c>
      <c r="C6" s="3" t="s">
        <v>72</v>
      </c>
      <c r="D6" s="9">
        <v>6</v>
      </c>
      <c r="E6" s="4">
        <v>40183</v>
      </c>
      <c r="F6" s="5">
        <v>0.35138888888888886</v>
      </c>
      <c r="G6" s="6">
        <v>3.39</v>
      </c>
      <c r="H6" s="3">
        <v>17850</v>
      </c>
      <c r="I6" s="3" t="s">
        <v>5</v>
      </c>
      <c r="J6" s="3" t="str">
        <f t="shared" si="0"/>
        <v>Sale</v>
      </c>
      <c r="K6" s="6">
        <f t="shared" si="1"/>
        <v>20.34</v>
      </c>
      <c r="L6" s="6">
        <f t="shared" si="2"/>
        <v>20.34</v>
      </c>
    </row>
    <row r="7" spans="1:12" x14ac:dyDescent="0.35">
      <c r="A7" s="3">
        <v>536365</v>
      </c>
      <c r="B7" s="3">
        <v>22752</v>
      </c>
      <c r="C7" s="3" t="s">
        <v>73</v>
      </c>
      <c r="D7" s="9">
        <v>2</v>
      </c>
      <c r="E7" s="4">
        <v>40184</v>
      </c>
      <c r="F7" s="5">
        <v>0.35138888888888886</v>
      </c>
      <c r="G7" s="6">
        <v>7.65</v>
      </c>
      <c r="H7" s="3">
        <v>17850</v>
      </c>
      <c r="I7" s="3" t="s">
        <v>5</v>
      </c>
      <c r="J7" s="3" t="str">
        <f t="shared" si="0"/>
        <v>Sale</v>
      </c>
      <c r="K7" s="6">
        <f t="shared" si="1"/>
        <v>15.3</v>
      </c>
      <c r="L7" s="6">
        <f t="shared" si="2"/>
        <v>15.3</v>
      </c>
    </row>
    <row r="8" spans="1:12" x14ac:dyDescent="0.35">
      <c r="A8" s="3">
        <v>536365</v>
      </c>
      <c r="B8" s="3">
        <v>21730</v>
      </c>
      <c r="C8" s="3" t="s">
        <v>74</v>
      </c>
      <c r="D8" s="9">
        <v>6</v>
      </c>
      <c r="E8" s="4">
        <v>40185</v>
      </c>
      <c r="F8" s="5">
        <v>0.35138888888888886</v>
      </c>
      <c r="G8" s="6">
        <v>4.25</v>
      </c>
      <c r="H8" s="3">
        <v>17850</v>
      </c>
      <c r="I8" s="3" t="s">
        <v>5</v>
      </c>
      <c r="J8" s="3" t="str">
        <f t="shared" si="0"/>
        <v>Sale</v>
      </c>
      <c r="K8" s="6">
        <f t="shared" si="1"/>
        <v>25.5</v>
      </c>
      <c r="L8" s="6">
        <f t="shared" si="2"/>
        <v>25.5</v>
      </c>
    </row>
    <row r="9" spans="1:12" x14ac:dyDescent="0.35">
      <c r="A9" s="3">
        <v>536366</v>
      </c>
      <c r="B9" s="3">
        <v>22633</v>
      </c>
      <c r="C9" s="3" t="s">
        <v>75</v>
      </c>
      <c r="D9" s="9">
        <v>6</v>
      </c>
      <c r="E9" s="4">
        <v>40186</v>
      </c>
      <c r="F9" s="5">
        <v>0.3527777777777778</v>
      </c>
      <c r="G9" s="6">
        <v>1.85</v>
      </c>
      <c r="H9" s="3">
        <v>17850</v>
      </c>
      <c r="I9" s="3" t="s">
        <v>5</v>
      </c>
      <c r="J9" s="3" t="str">
        <f t="shared" si="0"/>
        <v>Sale</v>
      </c>
      <c r="K9" s="6">
        <f t="shared" si="1"/>
        <v>11.100000000000001</v>
      </c>
      <c r="L9" s="6">
        <f t="shared" si="2"/>
        <v>11.100000000000001</v>
      </c>
    </row>
    <row r="10" spans="1:12" x14ac:dyDescent="0.35">
      <c r="A10" s="3">
        <v>536366</v>
      </c>
      <c r="B10" s="3">
        <v>22632</v>
      </c>
      <c r="C10" s="3" t="s">
        <v>76</v>
      </c>
      <c r="D10" s="9">
        <v>6</v>
      </c>
      <c r="E10" s="4">
        <v>40187</v>
      </c>
      <c r="F10" s="5">
        <v>0.3527777777777778</v>
      </c>
      <c r="G10" s="6">
        <v>1.85</v>
      </c>
      <c r="H10" s="3">
        <v>17850</v>
      </c>
      <c r="I10" s="3" t="s">
        <v>5</v>
      </c>
      <c r="J10" s="3" t="str">
        <f t="shared" si="0"/>
        <v>Sale</v>
      </c>
      <c r="K10" s="6">
        <f t="shared" si="1"/>
        <v>11.100000000000001</v>
      </c>
      <c r="L10" s="6">
        <f t="shared" si="2"/>
        <v>11.100000000000001</v>
      </c>
    </row>
    <row r="11" spans="1:12" x14ac:dyDescent="0.35">
      <c r="A11" s="3">
        <v>536367</v>
      </c>
      <c r="B11" s="3">
        <v>84879</v>
      </c>
      <c r="C11" s="3" t="s">
        <v>77</v>
      </c>
      <c r="D11" s="9">
        <v>32</v>
      </c>
      <c r="E11" s="4">
        <v>40188</v>
      </c>
      <c r="F11" s="5">
        <v>0.35694444444444445</v>
      </c>
      <c r="G11" s="6">
        <v>1.69</v>
      </c>
      <c r="H11" s="3">
        <v>13047</v>
      </c>
      <c r="I11" s="3" t="s">
        <v>5</v>
      </c>
      <c r="J11" s="3" t="str">
        <f t="shared" si="0"/>
        <v>Sale</v>
      </c>
      <c r="K11" s="6">
        <f t="shared" si="1"/>
        <v>54.08</v>
      </c>
      <c r="L11" s="6">
        <f t="shared" si="2"/>
        <v>54.08</v>
      </c>
    </row>
    <row r="12" spans="1:12" x14ac:dyDescent="0.35">
      <c r="A12" s="3">
        <v>536367</v>
      </c>
      <c r="B12" s="3">
        <v>22745</v>
      </c>
      <c r="C12" s="3" t="s">
        <v>78</v>
      </c>
      <c r="D12" s="9">
        <v>6</v>
      </c>
      <c r="E12" s="4">
        <v>40189</v>
      </c>
      <c r="F12" s="5">
        <v>0.35694444444444445</v>
      </c>
      <c r="G12" s="6">
        <v>2.1</v>
      </c>
      <c r="H12" s="3">
        <v>13047</v>
      </c>
      <c r="I12" s="3" t="s">
        <v>5</v>
      </c>
      <c r="J12" s="3" t="str">
        <f t="shared" si="0"/>
        <v>Sale</v>
      </c>
      <c r="K12" s="6">
        <f t="shared" si="1"/>
        <v>12.600000000000001</v>
      </c>
      <c r="L12" s="6">
        <f t="shared" si="2"/>
        <v>12.600000000000001</v>
      </c>
    </row>
    <row r="13" spans="1:12" x14ac:dyDescent="0.35">
      <c r="A13" s="3">
        <v>536367</v>
      </c>
      <c r="B13" s="3">
        <v>22748</v>
      </c>
      <c r="C13" s="3" t="s">
        <v>79</v>
      </c>
      <c r="D13" s="9">
        <v>6</v>
      </c>
      <c r="E13" s="4">
        <v>40190</v>
      </c>
      <c r="F13" s="5">
        <v>0.35694444444444445</v>
      </c>
      <c r="G13" s="6">
        <v>2.1</v>
      </c>
      <c r="H13" s="3">
        <v>13047</v>
      </c>
      <c r="I13" s="3" t="s">
        <v>5</v>
      </c>
      <c r="J13" s="3" t="str">
        <f t="shared" si="0"/>
        <v>Sale</v>
      </c>
      <c r="K13" s="6">
        <f t="shared" si="1"/>
        <v>12.600000000000001</v>
      </c>
      <c r="L13" s="6">
        <f t="shared" si="2"/>
        <v>12.600000000000001</v>
      </c>
    </row>
    <row r="14" spans="1:12" x14ac:dyDescent="0.35">
      <c r="A14" s="3">
        <v>536367</v>
      </c>
      <c r="B14" s="3">
        <v>22749</v>
      </c>
      <c r="C14" s="3" t="s">
        <v>80</v>
      </c>
      <c r="D14" s="9">
        <v>8</v>
      </c>
      <c r="E14" s="4">
        <v>40191</v>
      </c>
      <c r="F14" s="5">
        <v>0.35694444444444445</v>
      </c>
      <c r="G14" s="6">
        <v>3.75</v>
      </c>
      <c r="H14" s="3">
        <v>13047</v>
      </c>
      <c r="I14" s="3" t="s">
        <v>5</v>
      </c>
      <c r="J14" s="3" t="str">
        <f t="shared" si="0"/>
        <v>Sale</v>
      </c>
      <c r="K14" s="6">
        <f t="shared" si="1"/>
        <v>30</v>
      </c>
      <c r="L14" s="6">
        <f t="shared" si="2"/>
        <v>30</v>
      </c>
    </row>
    <row r="15" spans="1:12" x14ac:dyDescent="0.35">
      <c r="A15" s="3">
        <v>536367</v>
      </c>
      <c r="B15" s="3">
        <v>22310</v>
      </c>
      <c r="C15" s="3" t="s">
        <v>81</v>
      </c>
      <c r="D15" s="9">
        <v>6</v>
      </c>
      <c r="E15" s="4">
        <v>40192</v>
      </c>
      <c r="F15" s="5">
        <v>0.35694444444444445</v>
      </c>
      <c r="G15" s="6">
        <v>1.65</v>
      </c>
      <c r="H15" s="3">
        <v>13047</v>
      </c>
      <c r="I15" s="3" t="s">
        <v>5</v>
      </c>
      <c r="J15" s="3" t="str">
        <f t="shared" si="0"/>
        <v>Sale</v>
      </c>
      <c r="K15" s="6">
        <f t="shared" si="1"/>
        <v>9.8999999999999986</v>
      </c>
      <c r="L15" s="6">
        <f t="shared" si="2"/>
        <v>9.8999999999999986</v>
      </c>
    </row>
    <row r="16" spans="1:12" x14ac:dyDescent="0.35">
      <c r="A16" s="3">
        <v>536367</v>
      </c>
      <c r="B16" s="3">
        <v>84969</v>
      </c>
      <c r="C16" s="3" t="s">
        <v>82</v>
      </c>
      <c r="D16" s="9">
        <v>6</v>
      </c>
      <c r="E16" s="4">
        <v>40193</v>
      </c>
      <c r="F16" s="5">
        <v>0.35694444444444445</v>
      </c>
      <c r="G16" s="6">
        <v>4.25</v>
      </c>
      <c r="H16" s="3">
        <v>13047</v>
      </c>
      <c r="I16" s="3" t="s">
        <v>5</v>
      </c>
      <c r="J16" s="3" t="str">
        <f t="shared" si="0"/>
        <v>Sale</v>
      </c>
      <c r="K16" s="6">
        <f t="shared" si="1"/>
        <v>25.5</v>
      </c>
      <c r="L16" s="6">
        <f t="shared" si="2"/>
        <v>25.5</v>
      </c>
    </row>
    <row r="17" spans="1:12" x14ac:dyDescent="0.35">
      <c r="A17" s="3">
        <v>536367</v>
      </c>
      <c r="B17" s="3">
        <v>22623</v>
      </c>
      <c r="C17" s="3" t="s">
        <v>83</v>
      </c>
      <c r="D17" s="9">
        <v>3</v>
      </c>
      <c r="E17" s="4">
        <v>40194</v>
      </c>
      <c r="F17" s="5">
        <v>0.35694444444444445</v>
      </c>
      <c r="G17" s="6">
        <v>4.95</v>
      </c>
      <c r="H17" s="3">
        <v>13047</v>
      </c>
      <c r="I17" s="3" t="s">
        <v>5</v>
      </c>
      <c r="J17" s="3" t="str">
        <f t="shared" si="0"/>
        <v>Sale</v>
      </c>
      <c r="K17" s="6">
        <f t="shared" si="1"/>
        <v>14.850000000000001</v>
      </c>
      <c r="L17" s="6">
        <f t="shared" si="2"/>
        <v>14.850000000000001</v>
      </c>
    </row>
    <row r="18" spans="1:12" x14ac:dyDescent="0.35">
      <c r="A18" s="3">
        <v>536367</v>
      </c>
      <c r="B18" s="3">
        <v>22622</v>
      </c>
      <c r="C18" s="3" t="s">
        <v>84</v>
      </c>
      <c r="D18" s="9">
        <v>2</v>
      </c>
      <c r="E18" s="4">
        <v>40195</v>
      </c>
      <c r="F18" s="5">
        <v>0.35694444444444445</v>
      </c>
      <c r="G18" s="6">
        <v>9.9499999999999993</v>
      </c>
      <c r="H18" s="3">
        <v>13047</v>
      </c>
      <c r="I18" s="3" t="s">
        <v>5</v>
      </c>
      <c r="J18" s="3" t="str">
        <f t="shared" si="0"/>
        <v>Sale</v>
      </c>
      <c r="K18" s="6">
        <f t="shared" si="1"/>
        <v>19.899999999999999</v>
      </c>
      <c r="L18" s="6">
        <f t="shared" si="2"/>
        <v>19.899999999999999</v>
      </c>
    </row>
    <row r="19" spans="1:12" x14ac:dyDescent="0.35">
      <c r="A19" s="3">
        <v>536367</v>
      </c>
      <c r="B19" s="3">
        <v>21754</v>
      </c>
      <c r="C19" s="3" t="s">
        <v>85</v>
      </c>
      <c r="D19" s="9">
        <v>3</v>
      </c>
      <c r="E19" s="4">
        <v>40210.356944444444</v>
      </c>
      <c r="F19" s="5">
        <v>0.35694444444444445</v>
      </c>
      <c r="G19" s="6">
        <v>5.95</v>
      </c>
      <c r="H19" s="3">
        <v>13047</v>
      </c>
      <c r="I19" s="3" t="s">
        <v>5</v>
      </c>
      <c r="J19" s="3" t="str">
        <f t="shared" si="0"/>
        <v>Sale</v>
      </c>
      <c r="K19" s="6">
        <f t="shared" si="1"/>
        <v>17.850000000000001</v>
      </c>
      <c r="L19" s="6">
        <f t="shared" si="2"/>
        <v>17.850000000000001</v>
      </c>
    </row>
    <row r="20" spans="1:12" x14ac:dyDescent="0.35">
      <c r="A20" s="3">
        <v>536367</v>
      </c>
      <c r="B20" s="3">
        <v>21755</v>
      </c>
      <c r="C20" s="3" t="s">
        <v>86</v>
      </c>
      <c r="D20" s="9">
        <v>3</v>
      </c>
      <c r="E20" s="4">
        <v>40211</v>
      </c>
      <c r="F20" s="5">
        <v>0.35694444444444445</v>
      </c>
      <c r="G20" s="6">
        <v>5.95</v>
      </c>
      <c r="H20" s="3">
        <v>13047</v>
      </c>
      <c r="I20" s="3" t="s">
        <v>5</v>
      </c>
      <c r="J20" s="3" t="str">
        <f t="shared" si="0"/>
        <v>Sale</v>
      </c>
      <c r="K20" s="6">
        <f t="shared" si="1"/>
        <v>17.850000000000001</v>
      </c>
      <c r="L20" s="6">
        <f t="shared" si="2"/>
        <v>17.850000000000001</v>
      </c>
    </row>
    <row r="21" spans="1:12" x14ac:dyDescent="0.35">
      <c r="A21" s="3">
        <v>536367</v>
      </c>
      <c r="B21" s="3">
        <v>21777</v>
      </c>
      <c r="C21" s="3" t="s">
        <v>87</v>
      </c>
      <c r="D21" s="9">
        <v>4</v>
      </c>
      <c r="E21" s="4">
        <v>40211</v>
      </c>
      <c r="F21" s="5">
        <v>0.35694444444444445</v>
      </c>
      <c r="G21" s="6">
        <v>7.95</v>
      </c>
      <c r="H21" s="3">
        <v>13047</v>
      </c>
      <c r="I21" s="3" t="s">
        <v>5</v>
      </c>
      <c r="J21" s="3" t="str">
        <f t="shared" si="0"/>
        <v>Sale</v>
      </c>
      <c r="K21" s="6">
        <f t="shared" si="1"/>
        <v>31.8</v>
      </c>
      <c r="L21" s="6">
        <f t="shared" si="2"/>
        <v>31.8</v>
      </c>
    </row>
    <row r="22" spans="1:12" x14ac:dyDescent="0.35">
      <c r="A22" s="3">
        <v>536367</v>
      </c>
      <c r="B22" s="3">
        <v>48187</v>
      </c>
      <c r="C22" s="3" t="s">
        <v>88</v>
      </c>
      <c r="D22" s="9">
        <v>4</v>
      </c>
      <c r="E22" s="4" t="s">
        <v>519</v>
      </c>
      <c r="F22" s="5">
        <v>0.35694444444444445</v>
      </c>
      <c r="G22" s="6">
        <v>7.95</v>
      </c>
      <c r="H22" s="3">
        <v>13047</v>
      </c>
      <c r="I22" s="3" t="s">
        <v>5</v>
      </c>
      <c r="J22" s="3" t="str">
        <f t="shared" si="0"/>
        <v>Sale</v>
      </c>
      <c r="K22" s="6">
        <f t="shared" si="1"/>
        <v>31.8</v>
      </c>
      <c r="L22" s="6">
        <f t="shared" si="2"/>
        <v>31.8</v>
      </c>
    </row>
    <row r="23" spans="1:12" x14ac:dyDescent="0.35">
      <c r="A23" s="3">
        <v>536368</v>
      </c>
      <c r="B23" s="3">
        <v>22960</v>
      </c>
      <c r="C23" s="3" t="s">
        <v>89</v>
      </c>
      <c r="D23" s="9">
        <v>6</v>
      </c>
      <c r="E23" s="4" t="s">
        <v>520</v>
      </c>
      <c r="F23" s="5">
        <v>0.35694444444444445</v>
      </c>
      <c r="G23" s="6">
        <v>4.25</v>
      </c>
      <c r="H23" s="3">
        <v>13047</v>
      </c>
      <c r="I23" s="3" t="s">
        <v>5</v>
      </c>
      <c r="J23" s="3" t="str">
        <f t="shared" si="0"/>
        <v>Sale</v>
      </c>
      <c r="K23" s="6">
        <f t="shared" si="1"/>
        <v>25.5</v>
      </c>
      <c r="L23" s="6">
        <f t="shared" si="2"/>
        <v>25.5</v>
      </c>
    </row>
    <row r="24" spans="1:12" x14ac:dyDescent="0.35">
      <c r="A24" s="3">
        <v>536368</v>
      </c>
      <c r="B24" s="3">
        <v>22913</v>
      </c>
      <c r="C24" s="3" t="s">
        <v>90</v>
      </c>
      <c r="D24" s="9">
        <v>3</v>
      </c>
      <c r="E24" s="4" t="s">
        <v>521</v>
      </c>
      <c r="F24" s="5">
        <v>0.35694444444444445</v>
      </c>
      <c r="G24" s="6">
        <v>4.95</v>
      </c>
      <c r="H24" s="3">
        <v>13047</v>
      </c>
      <c r="I24" s="3" t="s">
        <v>5</v>
      </c>
      <c r="J24" s="3" t="str">
        <f t="shared" si="0"/>
        <v>Sale</v>
      </c>
      <c r="K24" s="6">
        <f t="shared" si="1"/>
        <v>14.850000000000001</v>
      </c>
      <c r="L24" s="6">
        <f t="shared" si="2"/>
        <v>14.850000000000001</v>
      </c>
    </row>
    <row r="25" spans="1:12" x14ac:dyDescent="0.35">
      <c r="A25" s="3">
        <v>536368</v>
      </c>
      <c r="B25" s="3">
        <v>22912</v>
      </c>
      <c r="C25" s="3" t="s">
        <v>91</v>
      </c>
      <c r="D25" s="9">
        <v>3</v>
      </c>
      <c r="E25" s="4" t="s">
        <v>522</v>
      </c>
      <c r="F25" s="5">
        <v>0.35694444444444445</v>
      </c>
      <c r="G25" s="6">
        <v>4.95</v>
      </c>
      <c r="H25" s="3">
        <v>13047</v>
      </c>
      <c r="I25" s="3" t="s">
        <v>5</v>
      </c>
      <c r="J25" s="3" t="str">
        <f t="shared" si="0"/>
        <v>Sale</v>
      </c>
      <c r="K25" s="6">
        <f t="shared" si="1"/>
        <v>14.850000000000001</v>
      </c>
      <c r="L25" s="6">
        <f t="shared" si="2"/>
        <v>14.850000000000001</v>
      </c>
    </row>
    <row r="26" spans="1:12" x14ac:dyDescent="0.35">
      <c r="A26" s="3">
        <v>536368</v>
      </c>
      <c r="B26" s="3">
        <v>22914</v>
      </c>
      <c r="C26" s="3" t="s">
        <v>92</v>
      </c>
      <c r="D26" s="9">
        <v>3</v>
      </c>
      <c r="E26" s="4">
        <v>40217</v>
      </c>
      <c r="F26" s="5">
        <v>0.35694444444444445</v>
      </c>
      <c r="G26" s="6">
        <v>4.95</v>
      </c>
      <c r="H26" s="3">
        <v>13047</v>
      </c>
      <c r="I26" s="3" t="s">
        <v>5</v>
      </c>
      <c r="J26" s="3" t="str">
        <f t="shared" si="0"/>
        <v>Sale</v>
      </c>
      <c r="K26" s="6">
        <f t="shared" si="1"/>
        <v>14.850000000000001</v>
      </c>
      <c r="L26" s="6">
        <f t="shared" si="2"/>
        <v>14.850000000000001</v>
      </c>
    </row>
    <row r="27" spans="1:12" x14ac:dyDescent="0.35">
      <c r="A27" s="3">
        <v>536369</v>
      </c>
      <c r="B27" s="3">
        <v>21756</v>
      </c>
      <c r="C27" s="3" t="s">
        <v>93</v>
      </c>
      <c r="D27" s="9">
        <v>3</v>
      </c>
      <c r="E27" s="4">
        <v>40218</v>
      </c>
      <c r="F27" s="5">
        <v>0.3576388888888889</v>
      </c>
      <c r="G27" s="6">
        <v>5.95</v>
      </c>
      <c r="H27" s="3">
        <v>13047</v>
      </c>
      <c r="I27" s="3" t="s">
        <v>5</v>
      </c>
      <c r="J27" s="3" t="str">
        <f t="shared" si="0"/>
        <v>Sale</v>
      </c>
      <c r="K27" s="6">
        <f t="shared" si="1"/>
        <v>17.850000000000001</v>
      </c>
      <c r="L27" s="6">
        <f t="shared" si="2"/>
        <v>17.850000000000001</v>
      </c>
    </row>
    <row r="28" spans="1:12" x14ac:dyDescent="0.35">
      <c r="A28" s="3">
        <v>536370</v>
      </c>
      <c r="B28" s="3">
        <v>22728</v>
      </c>
      <c r="C28" s="3" t="s">
        <v>94</v>
      </c>
      <c r="D28" s="9">
        <v>24</v>
      </c>
      <c r="E28" s="4">
        <v>40219</v>
      </c>
      <c r="F28" s="5">
        <v>0.36458333333333331</v>
      </c>
      <c r="G28" s="6">
        <v>3.75</v>
      </c>
      <c r="H28" s="3">
        <v>12583</v>
      </c>
      <c r="I28" s="3" t="s">
        <v>9</v>
      </c>
      <c r="J28" s="3" t="str">
        <f t="shared" si="0"/>
        <v>Sale</v>
      </c>
      <c r="K28" s="6">
        <f t="shared" si="1"/>
        <v>90</v>
      </c>
      <c r="L28" s="6">
        <f t="shared" si="2"/>
        <v>90</v>
      </c>
    </row>
    <row r="29" spans="1:12" x14ac:dyDescent="0.35">
      <c r="A29" s="3">
        <v>536370</v>
      </c>
      <c r="B29" s="3">
        <v>22727</v>
      </c>
      <c r="C29" s="3" t="s">
        <v>95</v>
      </c>
      <c r="D29" s="9">
        <v>24</v>
      </c>
      <c r="E29" s="4">
        <v>40220</v>
      </c>
      <c r="F29" s="5">
        <v>0.36458333333333331</v>
      </c>
      <c r="G29" s="6">
        <v>3.75</v>
      </c>
      <c r="H29" s="3">
        <v>12583</v>
      </c>
      <c r="I29" s="3" t="s">
        <v>9</v>
      </c>
      <c r="J29" s="3" t="str">
        <f t="shared" si="0"/>
        <v>Sale</v>
      </c>
      <c r="K29" s="6">
        <f t="shared" si="1"/>
        <v>90</v>
      </c>
      <c r="L29" s="6">
        <f t="shared" si="2"/>
        <v>90</v>
      </c>
    </row>
    <row r="30" spans="1:12" x14ac:dyDescent="0.35">
      <c r="A30" s="3">
        <v>536370</v>
      </c>
      <c r="B30" s="3">
        <v>22726</v>
      </c>
      <c r="C30" s="3" t="s">
        <v>96</v>
      </c>
      <c r="D30" s="9">
        <v>12</v>
      </c>
      <c r="E30" s="4">
        <v>40221</v>
      </c>
      <c r="F30" s="5">
        <v>0.36458333333333331</v>
      </c>
      <c r="G30" s="6">
        <v>3.75</v>
      </c>
      <c r="H30" s="3">
        <v>12583</v>
      </c>
      <c r="I30" s="3" t="s">
        <v>9</v>
      </c>
      <c r="J30" s="3" t="str">
        <f t="shared" si="0"/>
        <v>Sale</v>
      </c>
      <c r="K30" s="6">
        <f t="shared" si="1"/>
        <v>45</v>
      </c>
      <c r="L30" s="6">
        <f t="shared" si="2"/>
        <v>45</v>
      </c>
    </row>
    <row r="31" spans="1:12" x14ac:dyDescent="0.35">
      <c r="A31" s="3">
        <v>536370</v>
      </c>
      <c r="B31" s="3">
        <v>21724</v>
      </c>
      <c r="C31" s="3" t="s">
        <v>97</v>
      </c>
      <c r="D31" s="9">
        <v>12</v>
      </c>
      <c r="E31" s="4">
        <v>40222</v>
      </c>
      <c r="F31" s="5">
        <v>0.36458333333333331</v>
      </c>
      <c r="G31" s="6">
        <v>0.85</v>
      </c>
      <c r="H31" s="3">
        <v>12583</v>
      </c>
      <c r="I31" s="3" t="s">
        <v>9</v>
      </c>
      <c r="J31" s="3" t="str">
        <f t="shared" si="0"/>
        <v>Sale</v>
      </c>
      <c r="K31" s="6">
        <f t="shared" si="1"/>
        <v>10.199999999999999</v>
      </c>
      <c r="L31" s="6">
        <f t="shared" si="2"/>
        <v>10.199999999999999</v>
      </c>
    </row>
    <row r="32" spans="1:12" x14ac:dyDescent="0.35">
      <c r="A32" s="3">
        <v>536370</v>
      </c>
      <c r="B32" s="3">
        <v>21883</v>
      </c>
      <c r="C32" s="3" t="s">
        <v>98</v>
      </c>
      <c r="D32" s="9">
        <v>24</v>
      </c>
      <c r="E32" s="4">
        <v>40223</v>
      </c>
      <c r="F32" s="5">
        <v>0.36458333333333331</v>
      </c>
      <c r="G32" s="6">
        <v>0.65</v>
      </c>
      <c r="H32" s="3">
        <v>12583</v>
      </c>
      <c r="I32" s="3" t="s">
        <v>9</v>
      </c>
      <c r="J32" s="3" t="str">
        <f t="shared" si="0"/>
        <v>Sale</v>
      </c>
      <c r="K32" s="6">
        <f t="shared" si="1"/>
        <v>15.600000000000001</v>
      </c>
      <c r="L32" s="6">
        <f t="shared" si="2"/>
        <v>15.600000000000001</v>
      </c>
    </row>
    <row r="33" spans="1:12" x14ac:dyDescent="0.35">
      <c r="A33" s="3">
        <v>536370</v>
      </c>
      <c r="B33" s="3">
        <v>10002</v>
      </c>
      <c r="C33" s="3" t="s">
        <v>99</v>
      </c>
      <c r="D33" s="9">
        <v>48</v>
      </c>
      <c r="E33" s="4">
        <v>40224</v>
      </c>
      <c r="F33" s="5">
        <v>0.36458333333333331</v>
      </c>
      <c r="G33" s="6">
        <v>0.85</v>
      </c>
      <c r="H33" s="3">
        <v>12583</v>
      </c>
      <c r="I33" s="3" t="s">
        <v>9</v>
      </c>
      <c r="J33" s="3" t="str">
        <f t="shared" si="0"/>
        <v>Sale</v>
      </c>
      <c r="K33" s="6">
        <f t="shared" si="1"/>
        <v>40.799999999999997</v>
      </c>
      <c r="L33" s="6">
        <f t="shared" si="2"/>
        <v>40.799999999999997</v>
      </c>
    </row>
    <row r="34" spans="1:12" x14ac:dyDescent="0.35">
      <c r="A34" s="3">
        <v>536370</v>
      </c>
      <c r="B34" s="3">
        <v>21791</v>
      </c>
      <c r="C34" s="3" t="s">
        <v>100</v>
      </c>
      <c r="D34" s="9">
        <v>24</v>
      </c>
      <c r="E34" s="4">
        <v>40225</v>
      </c>
      <c r="F34" s="5">
        <v>0.36458333333333331</v>
      </c>
      <c r="G34" s="6">
        <v>1.25</v>
      </c>
      <c r="H34" s="3">
        <v>12583</v>
      </c>
      <c r="I34" s="3" t="s">
        <v>9</v>
      </c>
      <c r="J34" s="3" t="str">
        <f t="shared" si="0"/>
        <v>Sale</v>
      </c>
      <c r="K34" s="6">
        <f t="shared" si="1"/>
        <v>30</v>
      </c>
      <c r="L34" s="6">
        <f t="shared" si="2"/>
        <v>30</v>
      </c>
    </row>
    <row r="35" spans="1:12" x14ac:dyDescent="0.35">
      <c r="A35" s="3">
        <v>536370</v>
      </c>
      <c r="B35" s="3">
        <v>21035</v>
      </c>
      <c r="C35" s="3" t="s">
        <v>101</v>
      </c>
      <c r="D35" s="9">
        <v>18</v>
      </c>
      <c r="E35" s="4">
        <v>40226</v>
      </c>
      <c r="F35" s="5">
        <v>0.36458333333333331</v>
      </c>
      <c r="G35" s="6">
        <v>2.95</v>
      </c>
      <c r="H35" s="3">
        <v>12583</v>
      </c>
      <c r="I35" s="3" t="s">
        <v>9</v>
      </c>
      <c r="J35" s="3" t="str">
        <f t="shared" si="0"/>
        <v>Sale</v>
      </c>
      <c r="K35" s="6">
        <f t="shared" si="1"/>
        <v>53.1</v>
      </c>
      <c r="L35" s="6">
        <f t="shared" si="2"/>
        <v>53.1</v>
      </c>
    </row>
    <row r="36" spans="1:12" x14ac:dyDescent="0.35">
      <c r="A36" s="3">
        <v>536370</v>
      </c>
      <c r="B36" s="3">
        <v>22326</v>
      </c>
      <c r="C36" s="3" t="s">
        <v>102</v>
      </c>
      <c r="D36" s="9">
        <v>24</v>
      </c>
      <c r="E36" s="4">
        <v>40227</v>
      </c>
      <c r="F36" s="5">
        <v>0.36458333333333331</v>
      </c>
      <c r="G36" s="6">
        <v>2.95</v>
      </c>
      <c r="H36" s="3">
        <v>12583</v>
      </c>
      <c r="I36" s="3" t="s">
        <v>9</v>
      </c>
      <c r="J36" s="3" t="str">
        <f t="shared" si="0"/>
        <v>Sale</v>
      </c>
      <c r="K36" s="6">
        <f t="shared" si="1"/>
        <v>70.800000000000011</v>
      </c>
      <c r="L36" s="6">
        <f t="shared" si="2"/>
        <v>70.800000000000011</v>
      </c>
    </row>
    <row r="37" spans="1:12" x14ac:dyDescent="0.35">
      <c r="A37" s="3">
        <v>536370</v>
      </c>
      <c r="B37" s="3">
        <v>22629</v>
      </c>
      <c r="C37" s="3" t="s">
        <v>103</v>
      </c>
      <c r="D37" s="9">
        <v>24</v>
      </c>
      <c r="E37" s="4">
        <v>40228</v>
      </c>
      <c r="F37" s="5">
        <v>0.36458333333333331</v>
      </c>
      <c r="G37" s="6">
        <v>1.95</v>
      </c>
      <c r="H37" s="3">
        <v>12583</v>
      </c>
      <c r="I37" s="3" t="s">
        <v>9</v>
      </c>
      <c r="J37" s="3" t="str">
        <f t="shared" si="0"/>
        <v>Sale</v>
      </c>
      <c r="K37" s="6">
        <f t="shared" si="1"/>
        <v>46.8</v>
      </c>
      <c r="L37" s="6">
        <f t="shared" si="2"/>
        <v>46.8</v>
      </c>
    </row>
    <row r="38" spans="1:12" x14ac:dyDescent="0.35">
      <c r="A38" s="3">
        <v>536370</v>
      </c>
      <c r="B38" s="3">
        <v>22659</v>
      </c>
      <c r="C38" s="3" t="s">
        <v>104</v>
      </c>
      <c r="D38" s="9">
        <v>24</v>
      </c>
      <c r="E38" s="4">
        <v>40229</v>
      </c>
      <c r="F38" s="5">
        <v>0.36458333333333331</v>
      </c>
      <c r="G38" s="6">
        <v>1.95</v>
      </c>
      <c r="H38" s="3">
        <v>12583</v>
      </c>
      <c r="I38" s="3" t="s">
        <v>9</v>
      </c>
      <c r="J38" s="3" t="str">
        <f t="shared" si="0"/>
        <v>Sale</v>
      </c>
      <c r="K38" s="6">
        <f t="shared" si="1"/>
        <v>46.8</v>
      </c>
      <c r="L38" s="6">
        <f t="shared" si="2"/>
        <v>46.8</v>
      </c>
    </row>
    <row r="39" spans="1:12" x14ac:dyDescent="0.35">
      <c r="A39" s="3">
        <v>536370</v>
      </c>
      <c r="B39" s="3">
        <v>22631</v>
      </c>
      <c r="C39" s="3" t="s">
        <v>105</v>
      </c>
      <c r="D39" s="9">
        <v>24</v>
      </c>
      <c r="E39" s="4">
        <v>40230</v>
      </c>
      <c r="F39" s="5">
        <v>0.36458333333333331</v>
      </c>
      <c r="G39" s="6">
        <v>1.95</v>
      </c>
      <c r="H39" s="3">
        <v>12583</v>
      </c>
      <c r="I39" s="3" t="s">
        <v>9</v>
      </c>
      <c r="J39" s="3" t="str">
        <f t="shared" si="0"/>
        <v>Sale</v>
      </c>
      <c r="K39" s="6">
        <f t="shared" si="1"/>
        <v>46.8</v>
      </c>
      <c r="L39" s="6">
        <f t="shared" si="2"/>
        <v>46.8</v>
      </c>
    </row>
    <row r="40" spans="1:12" x14ac:dyDescent="0.35">
      <c r="A40" s="3">
        <v>536370</v>
      </c>
      <c r="B40" s="3">
        <v>22661</v>
      </c>
      <c r="C40" s="3" t="s">
        <v>106</v>
      </c>
      <c r="D40" s="9">
        <v>20</v>
      </c>
      <c r="E40" s="4">
        <v>40231</v>
      </c>
      <c r="F40" s="5">
        <v>0.36458333333333331</v>
      </c>
      <c r="G40" s="6">
        <v>0.85</v>
      </c>
      <c r="H40" s="3">
        <v>12583</v>
      </c>
      <c r="I40" s="3" t="s">
        <v>9</v>
      </c>
      <c r="J40" s="3" t="str">
        <f t="shared" si="0"/>
        <v>Sale</v>
      </c>
      <c r="K40" s="6">
        <f t="shared" si="1"/>
        <v>17</v>
      </c>
      <c r="L40" s="6">
        <f t="shared" si="2"/>
        <v>17</v>
      </c>
    </row>
    <row r="41" spans="1:12" x14ac:dyDescent="0.35">
      <c r="A41" s="3">
        <v>536370</v>
      </c>
      <c r="B41" s="3">
        <v>21731</v>
      </c>
      <c r="C41" s="3" t="s">
        <v>107</v>
      </c>
      <c r="D41" s="9">
        <v>24</v>
      </c>
      <c r="E41" s="4">
        <v>40232</v>
      </c>
      <c r="F41" s="5">
        <v>0.36458333333333331</v>
      </c>
      <c r="G41" s="6">
        <v>1.65</v>
      </c>
      <c r="H41" s="3">
        <v>12583</v>
      </c>
      <c r="I41" s="3" t="s">
        <v>9</v>
      </c>
      <c r="J41" s="3" t="str">
        <f t="shared" si="0"/>
        <v>Sale</v>
      </c>
      <c r="K41" s="6">
        <f t="shared" si="1"/>
        <v>39.599999999999994</v>
      </c>
      <c r="L41" s="6">
        <f t="shared" si="2"/>
        <v>39.599999999999994</v>
      </c>
    </row>
    <row r="42" spans="1:12" x14ac:dyDescent="0.35">
      <c r="A42" s="3">
        <v>536370</v>
      </c>
      <c r="B42" s="3">
        <v>22900</v>
      </c>
      <c r="C42" s="3" t="s">
        <v>108</v>
      </c>
      <c r="D42" s="9">
        <v>24</v>
      </c>
      <c r="E42" s="4">
        <v>40233</v>
      </c>
      <c r="F42" s="5">
        <v>0.36458333333333331</v>
      </c>
      <c r="G42" s="6">
        <v>2.95</v>
      </c>
      <c r="H42" s="3">
        <v>12583</v>
      </c>
      <c r="I42" s="3" t="s">
        <v>9</v>
      </c>
      <c r="J42" s="3" t="str">
        <f t="shared" si="0"/>
        <v>Sale</v>
      </c>
      <c r="K42" s="6">
        <f t="shared" si="1"/>
        <v>70.800000000000011</v>
      </c>
      <c r="L42" s="6">
        <f t="shared" si="2"/>
        <v>70.800000000000011</v>
      </c>
    </row>
    <row r="43" spans="1:12" x14ac:dyDescent="0.35">
      <c r="A43" s="3">
        <v>536370</v>
      </c>
      <c r="B43" s="3">
        <v>21913</v>
      </c>
      <c r="C43" s="3" t="s">
        <v>109</v>
      </c>
      <c r="D43" s="9">
        <v>12</v>
      </c>
      <c r="E43" s="4">
        <v>40234</v>
      </c>
      <c r="F43" s="5">
        <v>0.36458333333333331</v>
      </c>
      <c r="G43" s="6">
        <v>3.75</v>
      </c>
      <c r="H43" s="3">
        <v>12583</v>
      </c>
      <c r="I43" s="3" t="s">
        <v>9</v>
      </c>
      <c r="J43" s="3" t="str">
        <f t="shared" si="0"/>
        <v>Sale</v>
      </c>
      <c r="K43" s="6">
        <f t="shared" si="1"/>
        <v>45</v>
      </c>
      <c r="L43" s="6">
        <f t="shared" si="2"/>
        <v>45</v>
      </c>
    </row>
    <row r="44" spans="1:12" x14ac:dyDescent="0.35">
      <c r="A44" s="3">
        <v>536370</v>
      </c>
      <c r="B44" s="3">
        <v>22540</v>
      </c>
      <c r="C44" s="3" t="s">
        <v>110</v>
      </c>
      <c r="D44" s="9">
        <v>24</v>
      </c>
      <c r="E44" s="4">
        <v>40235</v>
      </c>
      <c r="F44" s="5">
        <v>0.36458333333333331</v>
      </c>
      <c r="G44" s="6">
        <v>0.42</v>
      </c>
      <c r="H44" s="3">
        <v>12583</v>
      </c>
      <c r="I44" s="3" t="s">
        <v>9</v>
      </c>
      <c r="J44" s="3" t="str">
        <f t="shared" si="0"/>
        <v>Sale</v>
      </c>
      <c r="K44" s="6">
        <f t="shared" si="1"/>
        <v>10.08</v>
      </c>
      <c r="L44" s="6">
        <f t="shared" si="2"/>
        <v>10.08</v>
      </c>
    </row>
    <row r="45" spans="1:12" x14ac:dyDescent="0.35">
      <c r="A45" s="3">
        <v>536370</v>
      </c>
      <c r="B45" s="3">
        <v>22544</v>
      </c>
      <c r="C45" s="3" t="s">
        <v>111</v>
      </c>
      <c r="D45" s="9">
        <v>24</v>
      </c>
      <c r="E45" s="4">
        <v>40236</v>
      </c>
      <c r="F45" s="5">
        <v>0.36458333333333331</v>
      </c>
      <c r="G45" s="6">
        <v>0.42</v>
      </c>
      <c r="H45" s="3">
        <v>12583</v>
      </c>
      <c r="I45" s="3" t="s">
        <v>9</v>
      </c>
      <c r="J45" s="3" t="str">
        <f t="shared" si="0"/>
        <v>Sale</v>
      </c>
      <c r="K45" s="6">
        <f t="shared" si="1"/>
        <v>10.08</v>
      </c>
      <c r="L45" s="6">
        <f t="shared" si="2"/>
        <v>10.08</v>
      </c>
    </row>
    <row r="46" spans="1:12" x14ac:dyDescent="0.35">
      <c r="A46" s="3">
        <v>536370</v>
      </c>
      <c r="B46" s="3">
        <v>22492</v>
      </c>
      <c r="C46" s="3" t="s">
        <v>112</v>
      </c>
      <c r="D46" s="9">
        <v>36</v>
      </c>
      <c r="E46" s="4">
        <v>40238.364583333336</v>
      </c>
      <c r="F46" s="5">
        <v>0.36458333333333331</v>
      </c>
      <c r="G46" s="6">
        <v>0.65</v>
      </c>
      <c r="H46" s="3">
        <v>12583</v>
      </c>
      <c r="I46" s="3" t="s">
        <v>9</v>
      </c>
      <c r="J46" s="3" t="str">
        <f t="shared" si="0"/>
        <v>Sale</v>
      </c>
      <c r="K46" s="6">
        <f t="shared" si="1"/>
        <v>23.400000000000002</v>
      </c>
      <c r="L46" s="6">
        <f t="shared" si="2"/>
        <v>23.400000000000002</v>
      </c>
    </row>
    <row r="47" spans="1:12" x14ac:dyDescent="0.35">
      <c r="A47" s="3">
        <v>536370</v>
      </c>
      <c r="B47" s="3" t="s">
        <v>10</v>
      </c>
      <c r="C47" s="3" t="s">
        <v>113</v>
      </c>
      <c r="D47" s="9">
        <v>3</v>
      </c>
      <c r="E47" s="4">
        <v>40239</v>
      </c>
      <c r="F47" s="5">
        <v>0.36458333333333331</v>
      </c>
      <c r="G47" s="6">
        <v>18</v>
      </c>
      <c r="H47" s="3">
        <v>12583</v>
      </c>
      <c r="I47" s="3" t="s">
        <v>9</v>
      </c>
      <c r="J47" s="3" t="str">
        <f t="shared" si="0"/>
        <v>Sale</v>
      </c>
      <c r="K47" s="6">
        <f t="shared" si="1"/>
        <v>54</v>
      </c>
      <c r="L47" s="6">
        <f t="shared" si="2"/>
        <v>54</v>
      </c>
    </row>
    <row r="48" spans="1:12" x14ac:dyDescent="0.35">
      <c r="A48" s="3">
        <v>536371</v>
      </c>
      <c r="B48" s="3">
        <v>22086</v>
      </c>
      <c r="C48" s="3" t="s">
        <v>114</v>
      </c>
      <c r="D48" s="9">
        <v>80</v>
      </c>
      <c r="E48" s="4">
        <v>40240</v>
      </c>
      <c r="F48" s="5">
        <v>0.375</v>
      </c>
      <c r="G48" s="6">
        <v>2.5499999999999998</v>
      </c>
      <c r="H48" s="3">
        <v>13748</v>
      </c>
      <c r="I48" s="3" t="s">
        <v>5</v>
      </c>
      <c r="J48" s="3" t="str">
        <f t="shared" si="0"/>
        <v>Sale</v>
      </c>
      <c r="K48" s="6">
        <f t="shared" si="1"/>
        <v>204</v>
      </c>
      <c r="L48" s="6">
        <f t="shared" si="2"/>
        <v>204</v>
      </c>
    </row>
    <row r="49" spans="1:12" x14ac:dyDescent="0.35">
      <c r="A49" s="3">
        <v>536372</v>
      </c>
      <c r="B49" s="3">
        <v>22632</v>
      </c>
      <c r="C49" s="3" t="s">
        <v>76</v>
      </c>
      <c r="D49" s="9">
        <v>6</v>
      </c>
      <c r="E49" s="4">
        <v>40241</v>
      </c>
      <c r="F49" s="5">
        <v>0.37569444444444444</v>
      </c>
      <c r="G49" s="6">
        <v>1.85</v>
      </c>
      <c r="H49" s="3">
        <v>17850</v>
      </c>
      <c r="I49" s="3" t="s">
        <v>5</v>
      </c>
      <c r="J49" s="3" t="str">
        <f t="shared" si="0"/>
        <v>Sale</v>
      </c>
      <c r="K49" s="6">
        <f t="shared" si="1"/>
        <v>11.100000000000001</v>
      </c>
      <c r="L49" s="6">
        <f t="shared" si="2"/>
        <v>11.100000000000001</v>
      </c>
    </row>
    <row r="50" spans="1:12" x14ac:dyDescent="0.35">
      <c r="A50" s="3">
        <v>536372</v>
      </c>
      <c r="B50" s="3">
        <v>22633</v>
      </c>
      <c r="C50" s="3" t="s">
        <v>75</v>
      </c>
      <c r="D50" s="9">
        <v>6</v>
      </c>
      <c r="E50" s="4">
        <v>40242</v>
      </c>
      <c r="F50" s="5">
        <v>0.37569444444444444</v>
      </c>
      <c r="G50" s="6">
        <v>1.85</v>
      </c>
      <c r="H50" s="3">
        <v>17850</v>
      </c>
      <c r="I50" s="3" t="s">
        <v>5</v>
      </c>
      <c r="J50" s="3" t="str">
        <f t="shared" si="0"/>
        <v>Sale</v>
      </c>
      <c r="K50" s="6">
        <f t="shared" si="1"/>
        <v>11.100000000000001</v>
      </c>
      <c r="L50" s="6">
        <f t="shared" si="2"/>
        <v>11.100000000000001</v>
      </c>
    </row>
    <row r="51" spans="1:12" x14ac:dyDescent="0.35">
      <c r="A51" s="3">
        <v>536373</v>
      </c>
      <c r="B51" s="3" t="s">
        <v>4</v>
      </c>
      <c r="C51" s="3" t="s">
        <v>68</v>
      </c>
      <c r="D51" s="9">
        <v>6</v>
      </c>
      <c r="E51" s="4">
        <v>40243</v>
      </c>
      <c r="F51" s="5">
        <v>0.37638888888888888</v>
      </c>
      <c r="G51" s="6">
        <v>2.5499999999999998</v>
      </c>
      <c r="H51" s="3">
        <v>17850</v>
      </c>
      <c r="I51" s="3" t="s">
        <v>5</v>
      </c>
      <c r="J51" s="3" t="str">
        <f t="shared" si="0"/>
        <v>Sale</v>
      </c>
      <c r="K51" s="6">
        <f t="shared" si="1"/>
        <v>15.299999999999999</v>
      </c>
      <c r="L51" s="6">
        <f t="shared" si="2"/>
        <v>15.299999999999999</v>
      </c>
    </row>
    <row r="52" spans="1:12" x14ac:dyDescent="0.35">
      <c r="A52" s="3">
        <v>536373</v>
      </c>
      <c r="B52" s="3">
        <v>71053</v>
      </c>
      <c r="C52" s="3" t="s">
        <v>69</v>
      </c>
      <c r="D52" s="9">
        <v>6</v>
      </c>
      <c r="E52" s="4">
        <v>40244</v>
      </c>
      <c r="F52" s="5">
        <v>0.37638888888888888</v>
      </c>
      <c r="G52" s="6">
        <v>3.39</v>
      </c>
      <c r="H52" s="3">
        <v>17850</v>
      </c>
      <c r="I52" s="3" t="s">
        <v>5</v>
      </c>
      <c r="J52" s="3" t="str">
        <f t="shared" si="0"/>
        <v>Sale</v>
      </c>
      <c r="K52" s="6">
        <f t="shared" si="1"/>
        <v>20.34</v>
      </c>
      <c r="L52" s="6">
        <f t="shared" si="2"/>
        <v>20.34</v>
      </c>
    </row>
    <row r="53" spans="1:12" x14ac:dyDescent="0.35">
      <c r="A53" s="3">
        <v>536373</v>
      </c>
      <c r="B53" s="3" t="s">
        <v>6</v>
      </c>
      <c r="C53" s="3" t="s">
        <v>70</v>
      </c>
      <c r="D53" s="9">
        <v>8</v>
      </c>
      <c r="E53" s="4">
        <v>40245</v>
      </c>
      <c r="F53" s="5">
        <v>0.37638888888888888</v>
      </c>
      <c r="G53" s="6">
        <v>2.75</v>
      </c>
      <c r="H53" s="3">
        <v>17850</v>
      </c>
      <c r="I53" s="3" t="s">
        <v>5</v>
      </c>
      <c r="J53" s="3" t="str">
        <f t="shared" si="0"/>
        <v>Sale</v>
      </c>
      <c r="K53" s="6">
        <f t="shared" si="1"/>
        <v>22</v>
      </c>
      <c r="L53" s="6">
        <f t="shared" si="2"/>
        <v>22</v>
      </c>
    </row>
    <row r="54" spans="1:12" x14ac:dyDescent="0.35">
      <c r="A54" s="3">
        <v>536373</v>
      </c>
      <c r="B54" s="3">
        <v>20679</v>
      </c>
      <c r="C54" s="3" t="s">
        <v>115</v>
      </c>
      <c r="D54" s="9">
        <v>6</v>
      </c>
      <c r="E54" s="4">
        <v>40246</v>
      </c>
      <c r="F54" s="5">
        <v>0.37638888888888888</v>
      </c>
      <c r="G54" s="6">
        <v>4.95</v>
      </c>
      <c r="H54" s="3">
        <v>17850</v>
      </c>
      <c r="I54" s="3" t="s">
        <v>5</v>
      </c>
      <c r="J54" s="3" t="str">
        <f t="shared" si="0"/>
        <v>Sale</v>
      </c>
      <c r="K54" s="6">
        <f t="shared" si="1"/>
        <v>29.700000000000003</v>
      </c>
      <c r="L54" s="6">
        <f t="shared" si="2"/>
        <v>29.700000000000003</v>
      </c>
    </row>
    <row r="55" spans="1:12" x14ac:dyDescent="0.35">
      <c r="A55" s="3">
        <v>536373</v>
      </c>
      <c r="B55" s="3">
        <v>37370</v>
      </c>
      <c r="C55" s="3" t="s">
        <v>116</v>
      </c>
      <c r="D55" s="9">
        <v>6</v>
      </c>
      <c r="E55" s="4">
        <v>40247</v>
      </c>
      <c r="F55" s="5">
        <v>0.37638888888888888</v>
      </c>
      <c r="G55" s="6">
        <v>1.06</v>
      </c>
      <c r="H55" s="3">
        <v>17850</v>
      </c>
      <c r="I55" s="3" t="s">
        <v>5</v>
      </c>
      <c r="J55" s="3" t="str">
        <f t="shared" si="0"/>
        <v>Sale</v>
      </c>
      <c r="K55" s="6">
        <f t="shared" si="1"/>
        <v>6.36</v>
      </c>
      <c r="L55" s="6">
        <f t="shared" si="2"/>
        <v>6.36</v>
      </c>
    </row>
    <row r="56" spans="1:12" x14ac:dyDescent="0.35">
      <c r="A56" s="3">
        <v>536373</v>
      </c>
      <c r="B56" s="3">
        <v>21871</v>
      </c>
      <c r="C56" s="3" t="s">
        <v>117</v>
      </c>
      <c r="D56" s="9">
        <v>6</v>
      </c>
      <c r="E56" s="4">
        <v>40248</v>
      </c>
      <c r="F56" s="5">
        <v>0.37638888888888888</v>
      </c>
      <c r="G56" s="6">
        <v>1.06</v>
      </c>
      <c r="H56" s="3">
        <v>17850</v>
      </c>
      <c r="I56" s="3" t="s">
        <v>5</v>
      </c>
      <c r="J56" s="3" t="str">
        <f t="shared" si="0"/>
        <v>Sale</v>
      </c>
      <c r="K56" s="6">
        <f t="shared" si="1"/>
        <v>6.36</v>
      </c>
      <c r="L56" s="6">
        <f t="shared" si="2"/>
        <v>6.36</v>
      </c>
    </row>
    <row r="57" spans="1:12" x14ac:dyDescent="0.35">
      <c r="A57" s="3">
        <v>536373</v>
      </c>
      <c r="B57" s="3">
        <v>21071</v>
      </c>
      <c r="C57" s="3" t="s">
        <v>118</v>
      </c>
      <c r="D57" s="9">
        <v>6</v>
      </c>
      <c r="E57" s="4">
        <v>40249</v>
      </c>
      <c r="F57" s="5">
        <v>0.37638888888888888</v>
      </c>
      <c r="G57" s="6">
        <v>1.06</v>
      </c>
      <c r="H57" s="3">
        <v>17850</v>
      </c>
      <c r="I57" s="3" t="s">
        <v>5</v>
      </c>
      <c r="J57" s="3" t="str">
        <f t="shared" si="0"/>
        <v>Sale</v>
      </c>
      <c r="K57" s="6">
        <f t="shared" si="1"/>
        <v>6.36</v>
      </c>
      <c r="L57" s="6">
        <f t="shared" si="2"/>
        <v>6.36</v>
      </c>
    </row>
    <row r="58" spans="1:12" x14ac:dyDescent="0.35">
      <c r="A58" s="3">
        <v>536373</v>
      </c>
      <c r="B58" s="3">
        <v>21068</v>
      </c>
      <c r="C58" s="3" t="s">
        <v>119</v>
      </c>
      <c r="D58" s="9">
        <v>6</v>
      </c>
      <c r="E58" s="4">
        <v>40250</v>
      </c>
      <c r="F58" s="5">
        <v>0.37638888888888888</v>
      </c>
      <c r="G58" s="6">
        <v>1.06</v>
      </c>
      <c r="H58" s="3">
        <v>17850</v>
      </c>
      <c r="I58" s="3" t="s">
        <v>5</v>
      </c>
      <c r="J58" s="3" t="str">
        <f t="shared" si="0"/>
        <v>Sale</v>
      </c>
      <c r="K58" s="6">
        <f t="shared" si="1"/>
        <v>6.36</v>
      </c>
      <c r="L58" s="6">
        <f t="shared" si="2"/>
        <v>6.36</v>
      </c>
    </row>
    <row r="59" spans="1:12" x14ac:dyDescent="0.35">
      <c r="A59" s="3">
        <v>536373</v>
      </c>
      <c r="B59" s="3">
        <v>82483</v>
      </c>
      <c r="C59" s="3" t="s">
        <v>120</v>
      </c>
      <c r="D59" s="9">
        <v>2</v>
      </c>
      <c r="E59" s="4">
        <v>40251</v>
      </c>
      <c r="F59" s="5">
        <v>0.37638888888888888</v>
      </c>
      <c r="G59" s="6">
        <v>4.95</v>
      </c>
      <c r="H59" s="3">
        <v>17850</v>
      </c>
      <c r="I59" s="3" t="s">
        <v>5</v>
      </c>
      <c r="J59" s="3" t="str">
        <f t="shared" si="0"/>
        <v>Sale</v>
      </c>
      <c r="K59" s="6">
        <f t="shared" si="1"/>
        <v>9.9</v>
      </c>
      <c r="L59" s="6">
        <f t="shared" si="2"/>
        <v>9.9</v>
      </c>
    </row>
    <row r="60" spans="1:12" x14ac:dyDescent="0.35">
      <c r="A60" s="3">
        <v>536373</v>
      </c>
      <c r="B60" s="3">
        <v>82486</v>
      </c>
      <c r="C60" s="3" t="s">
        <v>121</v>
      </c>
      <c r="D60" s="9">
        <v>4</v>
      </c>
      <c r="E60" s="4">
        <v>40252</v>
      </c>
      <c r="F60" s="5">
        <v>0.37638888888888888</v>
      </c>
      <c r="G60" s="6">
        <v>6.95</v>
      </c>
      <c r="H60" s="3">
        <v>17850</v>
      </c>
      <c r="I60" s="3" t="s">
        <v>5</v>
      </c>
      <c r="J60" s="3" t="str">
        <f t="shared" si="0"/>
        <v>Sale</v>
      </c>
      <c r="K60" s="6">
        <f t="shared" si="1"/>
        <v>27.8</v>
      </c>
      <c r="L60" s="6">
        <f t="shared" si="2"/>
        <v>27.8</v>
      </c>
    </row>
    <row r="61" spans="1:12" x14ac:dyDescent="0.35">
      <c r="A61" s="3">
        <v>536373</v>
      </c>
      <c r="B61" s="3">
        <v>82482</v>
      </c>
      <c r="C61" s="3" t="s">
        <v>122</v>
      </c>
      <c r="D61" s="9">
        <v>6</v>
      </c>
      <c r="E61" s="4">
        <v>40253</v>
      </c>
      <c r="F61" s="5">
        <v>0.37638888888888888</v>
      </c>
      <c r="G61" s="6">
        <v>2.1</v>
      </c>
      <c r="H61" s="3">
        <v>17850</v>
      </c>
      <c r="I61" s="3" t="s">
        <v>5</v>
      </c>
      <c r="J61" s="3" t="str">
        <f t="shared" si="0"/>
        <v>Sale</v>
      </c>
      <c r="K61" s="6">
        <f t="shared" si="1"/>
        <v>12.600000000000001</v>
      </c>
      <c r="L61" s="6">
        <f t="shared" si="2"/>
        <v>12.600000000000001</v>
      </c>
    </row>
    <row r="62" spans="1:12" x14ac:dyDescent="0.35">
      <c r="A62" s="3">
        <v>536373</v>
      </c>
      <c r="B62" s="3" t="s">
        <v>11</v>
      </c>
      <c r="C62" s="3" t="s">
        <v>123</v>
      </c>
      <c r="D62" s="9">
        <v>6</v>
      </c>
      <c r="E62" s="4">
        <v>40254</v>
      </c>
      <c r="F62" s="5">
        <v>0.37638888888888888</v>
      </c>
      <c r="G62" s="6">
        <v>2.5499999999999998</v>
      </c>
      <c r="H62" s="3">
        <v>17850</v>
      </c>
      <c r="I62" s="3" t="s">
        <v>5</v>
      </c>
      <c r="J62" s="3" t="str">
        <f t="shared" si="0"/>
        <v>Sale</v>
      </c>
      <c r="K62" s="6">
        <f t="shared" si="1"/>
        <v>15.299999999999999</v>
      </c>
      <c r="L62" s="6">
        <f t="shared" si="2"/>
        <v>15.299999999999999</v>
      </c>
    </row>
    <row r="63" spans="1:12" x14ac:dyDescent="0.35">
      <c r="A63" s="3">
        <v>536373</v>
      </c>
      <c r="B63" s="3" t="s">
        <v>7</v>
      </c>
      <c r="C63" s="3" t="s">
        <v>71</v>
      </c>
      <c r="D63" s="9">
        <v>6</v>
      </c>
      <c r="E63" s="4">
        <v>40254</v>
      </c>
      <c r="F63" s="5">
        <v>0.37638888888888888</v>
      </c>
      <c r="G63" s="6">
        <v>3.39</v>
      </c>
      <c r="H63" s="3">
        <v>17850</v>
      </c>
      <c r="I63" s="3" t="s">
        <v>5</v>
      </c>
      <c r="J63" s="3" t="str">
        <f t="shared" si="0"/>
        <v>Sale</v>
      </c>
      <c r="K63" s="6">
        <f t="shared" si="1"/>
        <v>20.34</v>
      </c>
      <c r="L63" s="6">
        <f t="shared" si="2"/>
        <v>20.34</v>
      </c>
    </row>
    <row r="64" spans="1:12" x14ac:dyDescent="0.35">
      <c r="A64" s="3">
        <v>536373</v>
      </c>
      <c r="B64" s="3" t="s">
        <v>8</v>
      </c>
      <c r="C64" s="3" t="s">
        <v>72</v>
      </c>
      <c r="D64" s="9">
        <v>6</v>
      </c>
      <c r="E64" s="4">
        <v>40254</v>
      </c>
      <c r="F64" s="5">
        <v>0.37638888888888888</v>
      </c>
      <c r="G64" s="6">
        <v>3.39</v>
      </c>
      <c r="H64" s="3">
        <v>17850</v>
      </c>
      <c r="I64" s="3" t="s">
        <v>5</v>
      </c>
      <c r="J64" s="3" t="str">
        <f t="shared" si="0"/>
        <v>Sale</v>
      </c>
      <c r="K64" s="6">
        <f t="shared" si="1"/>
        <v>20.34</v>
      </c>
      <c r="L64" s="6">
        <f t="shared" si="2"/>
        <v>20.34</v>
      </c>
    </row>
    <row r="65" spans="1:12" x14ac:dyDescent="0.35">
      <c r="A65" s="3">
        <v>536373</v>
      </c>
      <c r="B65" s="3">
        <v>22752</v>
      </c>
      <c r="C65" s="3" t="s">
        <v>73</v>
      </c>
      <c r="D65" s="9">
        <v>2</v>
      </c>
      <c r="E65" s="4">
        <v>40255</v>
      </c>
      <c r="F65" s="5">
        <v>0.37638888888888888</v>
      </c>
      <c r="G65" s="6">
        <v>7.65</v>
      </c>
      <c r="H65" s="3">
        <v>17850</v>
      </c>
      <c r="I65" s="3" t="s">
        <v>5</v>
      </c>
      <c r="J65" s="3" t="str">
        <f t="shared" si="0"/>
        <v>Sale</v>
      </c>
      <c r="K65" s="6">
        <f t="shared" si="1"/>
        <v>15.3</v>
      </c>
      <c r="L65" s="6">
        <f t="shared" si="2"/>
        <v>15.3</v>
      </c>
    </row>
    <row r="66" spans="1:12" x14ac:dyDescent="0.35">
      <c r="A66" s="3">
        <v>536373</v>
      </c>
      <c r="B66" s="3">
        <v>21730</v>
      </c>
      <c r="C66" s="3" t="s">
        <v>74</v>
      </c>
      <c r="D66" s="9">
        <v>6</v>
      </c>
      <c r="E66" s="4">
        <v>40256</v>
      </c>
      <c r="F66" s="5">
        <v>0.37638888888888888</v>
      </c>
      <c r="G66" s="6">
        <v>4.25</v>
      </c>
      <c r="H66" s="3">
        <v>17850</v>
      </c>
      <c r="I66" s="3" t="s">
        <v>5</v>
      </c>
      <c r="J66" s="3" t="str">
        <f t="shared" ref="J66:J129" si="3">IF(D66&lt;1,"Return","Sale")</f>
        <v>Sale</v>
      </c>
      <c r="K66" s="6">
        <f t="shared" ref="K66:K129" si="4">D66*G66</f>
        <v>25.5</v>
      </c>
      <c r="L66" s="6">
        <f t="shared" si="2"/>
        <v>25.5</v>
      </c>
    </row>
    <row r="67" spans="1:12" x14ac:dyDescent="0.35">
      <c r="A67" s="3">
        <v>536374</v>
      </c>
      <c r="B67" s="3">
        <v>21258</v>
      </c>
      <c r="C67" s="3" t="s">
        <v>124</v>
      </c>
      <c r="D67" s="9">
        <v>32</v>
      </c>
      <c r="E67" s="4">
        <v>40257</v>
      </c>
      <c r="F67" s="5">
        <v>0.38124999999999998</v>
      </c>
      <c r="G67" s="6">
        <v>10.95</v>
      </c>
      <c r="H67" s="3">
        <v>15100</v>
      </c>
      <c r="I67" s="3" t="s">
        <v>5</v>
      </c>
      <c r="J67" s="3" t="str">
        <f t="shared" si="3"/>
        <v>Sale</v>
      </c>
      <c r="K67" s="6">
        <f t="shared" si="4"/>
        <v>350.4</v>
      </c>
      <c r="L67" s="6">
        <f t="shared" ref="L67:L130" si="5" xml:space="preserve"> ABS(K67)</f>
        <v>350.4</v>
      </c>
    </row>
    <row r="68" spans="1:12" x14ac:dyDescent="0.35">
      <c r="A68" s="3">
        <v>536375</v>
      </c>
      <c r="B68" s="3" t="s">
        <v>4</v>
      </c>
      <c r="C68" s="3" t="s">
        <v>68</v>
      </c>
      <c r="D68" s="9">
        <v>6</v>
      </c>
      <c r="E68" s="4">
        <v>40260</v>
      </c>
      <c r="F68" s="5">
        <v>0.3972222222222222</v>
      </c>
      <c r="G68" s="6">
        <v>2.5499999999999998</v>
      </c>
      <c r="H68" s="3">
        <v>17850</v>
      </c>
      <c r="I68" s="3" t="s">
        <v>5</v>
      </c>
      <c r="J68" s="3" t="str">
        <f t="shared" si="3"/>
        <v>Sale</v>
      </c>
      <c r="K68" s="6">
        <f t="shared" si="4"/>
        <v>15.299999999999999</v>
      </c>
      <c r="L68" s="6">
        <f t="shared" si="5"/>
        <v>15.299999999999999</v>
      </c>
    </row>
    <row r="69" spans="1:12" x14ac:dyDescent="0.35">
      <c r="A69" s="3">
        <v>536375</v>
      </c>
      <c r="B69" s="3">
        <v>71053</v>
      </c>
      <c r="C69" s="3" t="s">
        <v>69</v>
      </c>
      <c r="D69" s="9">
        <v>6</v>
      </c>
      <c r="E69" s="4">
        <v>40261</v>
      </c>
      <c r="F69" s="5">
        <v>0.3972222222222222</v>
      </c>
      <c r="G69" s="6">
        <v>3.39</v>
      </c>
      <c r="H69" s="3">
        <v>17850</v>
      </c>
      <c r="I69" s="3" t="s">
        <v>5</v>
      </c>
      <c r="J69" s="3" t="str">
        <f t="shared" si="3"/>
        <v>Sale</v>
      </c>
      <c r="K69" s="6">
        <f t="shared" si="4"/>
        <v>20.34</v>
      </c>
      <c r="L69" s="6">
        <f t="shared" si="5"/>
        <v>20.34</v>
      </c>
    </row>
    <row r="70" spans="1:12" x14ac:dyDescent="0.35">
      <c r="A70" s="3">
        <v>536375</v>
      </c>
      <c r="B70" s="3" t="s">
        <v>6</v>
      </c>
      <c r="C70" s="3" t="s">
        <v>70</v>
      </c>
      <c r="D70" s="9">
        <v>8</v>
      </c>
      <c r="E70" s="4">
        <v>40262</v>
      </c>
      <c r="F70" s="5">
        <v>0.3972222222222222</v>
      </c>
      <c r="G70" s="6">
        <v>2.75</v>
      </c>
      <c r="H70" s="3">
        <v>17850</v>
      </c>
      <c r="I70" s="3" t="s">
        <v>5</v>
      </c>
      <c r="J70" s="3" t="str">
        <f t="shared" si="3"/>
        <v>Sale</v>
      </c>
      <c r="K70" s="6">
        <f t="shared" si="4"/>
        <v>22</v>
      </c>
      <c r="L70" s="6">
        <f t="shared" si="5"/>
        <v>22</v>
      </c>
    </row>
    <row r="71" spans="1:12" x14ac:dyDescent="0.35">
      <c r="A71" s="3">
        <v>536375</v>
      </c>
      <c r="B71" s="3">
        <v>20679</v>
      </c>
      <c r="C71" s="3" t="s">
        <v>115</v>
      </c>
      <c r="D71" s="9">
        <v>6</v>
      </c>
      <c r="E71" s="4">
        <v>40263</v>
      </c>
      <c r="F71" s="5">
        <v>0.3972222222222222</v>
      </c>
      <c r="G71" s="6">
        <v>4.95</v>
      </c>
      <c r="H71" s="3">
        <v>17850</v>
      </c>
      <c r="I71" s="3" t="s">
        <v>5</v>
      </c>
      <c r="J71" s="3" t="str">
        <f t="shared" si="3"/>
        <v>Sale</v>
      </c>
      <c r="K71" s="6">
        <f t="shared" si="4"/>
        <v>29.700000000000003</v>
      </c>
      <c r="L71" s="6">
        <f t="shared" si="5"/>
        <v>29.700000000000003</v>
      </c>
    </row>
    <row r="72" spans="1:12" x14ac:dyDescent="0.35">
      <c r="A72" s="3">
        <v>536375</v>
      </c>
      <c r="B72" s="3">
        <v>37370</v>
      </c>
      <c r="C72" s="3" t="s">
        <v>116</v>
      </c>
      <c r="D72" s="9">
        <v>6</v>
      </c>
      <c r="E72" s="4">
        <v>40264</v>
      </c>
      <c r="F72" s="5">
        <v>0.3972222222222222</v>
      </c>
      <c r="G72" s="6">
        <v>1.06</v>
      </c>
      <c r="H72" s="3">
        <v>17850</v>
      </c>
      <c r="I72" s="3" t="s">
        <v>5</v>
      </c>
      <c r="J72" s="3" t="str">
        <f t="shared" si="3"/>
        <v>Sale</v>
      </c>
      <c r="K72" s="6">
        <f t="shared" si="4"/>
        <v>6.36</v>
      </c>
      <c r="L72" s="6">
        <f t="shared" si="5"/>
        <v>6.36</v>
      </c>
    </row>
    <row r="73" spans="1:12" x14ac:dyDescent="0.35">
      <c r="A73" s="3">
        <v>536375</v>
      </c>
      <c r="B73" s="3">
        <v>21871</v>
      </c>
      <c r="C73" s="3" t="s">
        <v>117</v>
      </c>
      <c r="D73" s="9">
        <v>6</v>
      </c>
      <c r="E73" s="4">
        <v>40265</v>
      </c>
      <c r="F73" s="5">
        <v>0.3972222222222222</v>
      </c>
      <c r="G73" s="6">
        <v>1.06</v>
      </c>
      <c r="H73" s="3">
        <v>17850</v>
      </c>
      <c r="I73" s="3" t="s">
        <v>5</v>
      </c>
      <c r="J73" s="3" t="str">
        <f t="shared" si="3"/>
        <v>Sale</v>
      </c>
      <c r="K73" s="6">
        <f t="shared" si="4"/>
        <v>6.36</v>
      </c>
      <c r="L73" s="6">
        <f t="shared" si="5"/>
        <v>6.36</v>
      </c>
    </row>
    <row r="74" spans="1:12" x14ac:dyDescent="0.35">
      <c r="A74" s="3">
        <v>536375</v>
      </c>
      <c r="B74" s="3">
        <v>21071</v>
      </c>
      <c r="C74" s="3" t="s">
        <v>118</v>
      </c>
      <c r="D74" s="9">
        <v>6</v>
      </c>
      <c r="E74" s="4">
        <v>40266</v>
      </c>
      <c r="F74" s="5">
        <v>0.3972222222222222</v>
      </c>
      <c r="G74" s="6">
        <v>1.06</v>
      </c>
      <c r="H74" s="3">
        <v>17850</v>
      </c>
      <c r="I74" s="3" t="s">
        <v>5</v>
      </c>
      <c r="J74" s="3" t="str">
        <f t="shared" si="3"/>
        <v>Sale</v>
      </c>
      <c r="K74" s="6">
        <f t="shared" si="4"/>
        <v>6.36</v>
      </c>
      <c r="L74" s="6">
        <f t="shared" si="5"/>
        <v>6.36</v>
      </c>
    </row>
    <row r="75" spans="1:12" x14ac:dyDescent="0.35">
      <c r="A75" s="3">
        <v>536375</v>
      </c>
      <c r="B75" s="3">
        <v>21068</v>
      </c>
      <c r="C75" s="3" t="s">
        <v>119</v>
      </c>
      <c r="D75" s="9">
        <v>6</v>
      </c>
      <c r="E75" s="4">
        <v>40267</v>
      </c>
      <c r="F75" s="5">
        <v>0.3972222222222222</v>
      </c>
      <c r="G75" s="6">
        <v>1.06</v>
      </c>
      <c r="H75" s="3">
        <v>17850</v>
      </c>
      <c r="I75" s="3" t="s">
        <v>5</v>
      </c>
      <c r="J75" s="3" t="str">
        <f t="shared" si="3"/>
        <v>Sale</v>
      </c>
      <c r="K75" s="6">
        <f t="shared" si="4"/>
        <v>6.36</v>
      </c>
      <c r="L75" s="6">
        <f t="shared" si="5"/>
        <v>6.36</v>
      </c>
    </row>
    <row r="76" spans="1:12" x14ac:dyDescent="0.35">
      <c r="A76" s="3">
        <v>536375</v>
      </c>
      <c r="B76" s="3">
        <v>82483</v>
      </c>
      <c r="C76" s="3" t="s">
        <v>120</v>
      </c>
      <c r="D76" s="9">
        <v>2</v>
      </c>
      <c r="E76" s="4">
        <v>40268</v>
      </c>
      <c r="F76" s="5">
        <v>0.3972222222222222</v>
      </c>
      <c r="G76" s="6">
        <v>4.95</v>
      </c>
      <c r="H76" s="3">
        <v>17850</v>
      </c>
      <c r="I76" s="3" t="s">
        <v>5</v>
      </c>
      <c r="J76" s="3" t="str">
        <f t="shared" si="3"/>
        <v>Sale</v>
      </c>
      <c r="K76" s="6">
        <f t="shared" si="4"/>
        <v>9.9</v>
      </c>
      <c r="L76" s="6">
        <f t="shared" si="5"/>
        <v>9.9</v>
      </c>
    </row>
    <row r="77" spans="1:12" x14ac:dyDescent="0.35">
      <c r="A77" s="3">
        <v>536375</v>
      </c>
      <c r="B77" s="3">
        <v>82486</v>
      </c>
      <c r="C77" s="3" t="s">
        <v>121</v>
      </c>
      <c r="D77" s="9">
        <v>4</v>
      </c>
      <c r="E77" s="4">
        <v>40269</v>
      </c>
      <c r="F77" s="5">
        <v>0.3972222222222222</v>
      </c>
      <c r="G77" s="6">
        <v>6.95</v>
      </c>
      <c r="H77" s="3">
        <v>17850</v>
      </c>
      <c r="I77" s="3" t="s">
        <v>5</v>
      </c>
      <c r="J77" s="3" t="str">
        <f t="shared" si="3"/>
        <v>Sale</v>
      </c>
      <c r="K77" s="6">
        <f t="shared" si="4"/>
        <v>27.8</v>
      </c>
      <c r="L77" s="6">
        <f t="shared" si="5"/>
        <v>27.8</v>
      </c>
    </row>
    <row r="78" spans="1:12" x14ac:dyDescent="0.35">
      <c r="A78" s="3">
        <v>536375</v>
      </c>
      <c r="B78" s="3">
        <v>82482</v>
      </c>
      <c r="C78" s="3" t="s">
        <v>122</v>
      </c>
      <c r="D78" s="9">
        <v>6</v>
      </c>
      <c r="E78" s="4">
        <v>40270</v>
      </c>
      <c r="F78" s="5">
        <v>0.3972222222222222</v>
      </c>
      <c r="G78" s="6">
        <v>2.1</v>
      </c>
      <c r="H78" s="3">
        <v>17850</v>
      </c>
      <c r="I78" s="3" t="s">
        <v>5</v>
      </c>
      <c r="J78" s="3" t="str">
        <f t="shared" si="3"/>
        <v>Sale</v>
      </c>
      <c r="K78" s="6">
        <f t="shared" si="4"/>
        <v>12.600000000000001</v>
      </c>
      <c r="L78" s="6">
        <f t="shared" si="5"/>
        <v>12.600000000000001</v>
      </c>
    </row>
    <row r="79" spans="1:12" x14ac:dyDescent="0.35">
      <c r="A79" s="3">
        <v>536375</v>
      </c>
      <c r="B79" s="3" t="s">
        <v>11</v>
      </c>
      <c r="C79" s="3" t="s">
        <v>123</v>
      </c>
      <c r="D79" s="9">
        <v>6</v>
      </c>
      <c r="E79" s="4">
        <v>40271</v>
      </c>
      <c r="F79" s="5">
        <v>0.3972222222222222</v>
      </c>
      <c r="G79" s="6">
        <v>2.5499999999999998</v>
      </c>
      <c r="H79" s="3">
        <v>17850</v>
      </c>
      <c r="I79" s="3" t="s">
        <v>5</v>
      </c>
      <c r="J79" s="3" t="str">
        <f t="shared" si="3"/>
        <v>Sale</v>
      </c>
      <c r="K79" s="6">
        <f t="shared" si="4"/>
        <v>15.299999999999999</v>
      </c>
      <c r="L79" s="6">
        <f t="shared" si="5"/>
        <v>15.299999999999999</v>
      </c>
    </row>
    <row r="80" spans="1:12" x14ac:dyDescent="0.35">
      <c r="A80" s="3">
        <v>536375</v>
      </c>
      <c r="B80" s="3" t="s">
        <v>7</v>
      </c>
      <c r="C80" s="3" t="s">
        <v>71</v>
      </c>
      <c r="D80" s="9">
        <v>6</v>
      </c>
      <c r="E80" s="4">
        <v>40272</v>
      </c>
      <c r="F80" s="5">
        <v>0.3972222222222222</v>
      </c>
      <c r="G80" s="6">
        <v>3.39</v>
      </c>
      <c r="H80" s="3">
        <v>17850</v>
      </c>
      <c r="I80" s="3" t="s">
        <v>5</v>
      </c>
      <c r="J80" s="3" t="str">
        <f t="shared" si="3"/>
        <v>Sale</v>
      </c>
      <c r="K80" s="6">
        <f t="shared" si="4"/>
        <v>20.34</v>
      </c>
      <c r="L80" s="6">
        <f t="shared" si="5"/>
        <v>20.34</v>
      </c>
    </row>
    <row r="81" spans="1:12" x14ac:dyDescent="0.35">
      <c r="A81" s="3">
        <v>536375</v>
      </c>
      <c r="B81" s="3" t="s">
        <v>8</v>
      </c>
      <c r="C81" s="3" t="s">
        <v>72</v>
      </c>
      <c r="D81" s="9">
        <v>6</v>
      </c>
      <c r="E81" s="4">
        <v>40273</v>
      </c>
      <c r="F81" s="5">
        <v>0.3972222222222222</v>
      </c>
      <c r="G81" s="6">
        <v>3.39</v>
      </c>
      <c r="H81" s="3">
        <v>17850</v>
      </c>
      <c r="I81" s="3" t="s">
        <v>5</v>
      </c>
      <c r="J81" s="3" t="str">
        <f t="shared" si="3"/>
        <v>Sale</v>
      </c>
      <c r="K81" s="6">
        <f t="shared" si="4"/>
        <v>20.34</v>
      </c>
      <c r="L81" s="6">
        <f t="shared" si="5"/>
        <v>20.34</v>
      </c>
    </row>
    <row r="82" spans="1:12" x14ac:dyDescent="0.35">
      <c r="A82" s="3">
        <v>536375</v>
      </c>
      <c r="B82" s="3">
        <v>22752</v>
      </c>
      <c r="C82" s="3" t="s">
        <v>73</v>
      </c>
      <c r="D82" s="9">
        <v>2</v>
      </c>
      <c r="E82" s="4">
        <v>40274</v>
      </c>
      <c r="F82" s="5">
        <v>0.3972222222222222</v>
      </c>
      <c r="G82" s="6">
        <v>7.65</v>
      </c>
      <c r="H82" s="3">
        <v>17850</v>
      </c>
      <c r="I82" s="3" t="s">
        <v>5</v>
      </c>
      <c r="J82" s="3" t="str">
        <f t="shared" si="3"/>
        <v>Sale</v>
      </c>
      <c r="K82" s="6">
        <f t="shared" si="4"/>
        <v>15.3</v>
      </c>
      <c r="L82" s="6">
        <f t="shared" si="5"/>
        <v>15.3</v>
      </c>
    </row>
    <row r="83" spans="1:12" x14ac:dyDescent="0.35">
      <c r="A83" s="3">
        <v>536375</v>
      </c>
      <c r="B83" s="3">
        <v>21730</v>
      </c>
      <c r="C83" s="3" t="s">
        <v>74</v>
      </c>
      <c r="D83" s="9">
        <v>6</v>
      </c>
      <c r="E83" s="4">
        <v>40275</v>
      </c>
      <c r="F83" s="5">
        <v>0.3972222222222222</v>
      </c>
      <c r="G83" s="6">
        <v>4.25</v>
      </c>
      <c r="H83" s="3">
        <v>17850</v>
      </c>
      <c r="I83" s="3" t="s">
        <v>5</v>
      </c>
      <c r="J83" s="3" t="str">
        <f t="shared" si="3"/>
        <v>Sale</v>
      </c>
      <c r="K83" s="6">
        <f t="shared" si="4"/>
        <v>25.5</v>
      </c>
      <c r="L83" s="6">
        <f t="shared" si="5"/>
        <v>25.5</v>
      </c>
    </row>
    <row r="84" spans="1:12" x14ac:dyDescent="0.35">
      <c r="A84" s="3">
        <v>536376</v>
      </c>
      <c r="B84" s="3">
        <v>22114</v>
      </c>
      <c r="C84" s="3" t="s">
        <v>125</v>
      </c>
      <c r="D84" s="9">
        <v>48</v>
      </c>
      <c r="E84" s="4">
        <v>40276</v>
      </c>
      <c r="F84" s="5">
        <v>0.3972222222222222</v>
      </c>
      <c r="G84" s="6">
        <v>3.45</v>
      </c>
      <c r="H84" s="3">
        <v>15291</v>
      </c>
      <c r="I84" s="3" t="s">
        <v>5</v>
      </c>
      <c r="J84" s="3" t="str">
        <f t="shared" si="3"/>
        <v>Sale</v>
      </c>
      <c r="K84" s="6">
        <f t="shared" si="4"/>
        <v>165.60000000000002</v>
      </c>
      <c r="L84" s="6">
        <f t="shared" si="5"/>
        <v>165.60000000000002</v>
      </c>
    </row>
    <row r="85" spans="1:12" x14ac:dyDescent="0.35">
      <c r="A85" s="3">
        <v>536376</v>
      </c>
      <c r="B85" s="3">
        <v>21733</v>
      </c>
      <c r="C85" s="3" t="s">
        <v>126</v>
      </c>
      <c r="D85" s="9">
        <v>64</v>
      </c>
      <c r="E85" s="4">
        <v>40277</v>
      </c>
      <c r="F85" s="5">
        <v>0.3972222222222222</v>
      </c>
      <c r="G85" s="6">
        <v>2.5499999999999998</v>
      </c>
      <c r="H85" s="3">
        <v>15291</v>
      </c>
      <c r="I85" s="3" t="s">
        <v>5</v>
      </c>
      <c r="J85" s="3" t="str">
        <f t="shared" si="3"/>
        <v>Sale</v>
      </c>
      <c r="K85" s="6">
        <f t="shared" si="4"/>
        <v>163.19999999999999</v>
      </c>
      <c r="L85" s="6">
        <f t="shared" si="5"/>
        <v>163.19999999999999</v>
      </c>
    </row>
    <row r="86" spans="1:12" x14ac:dyDescent="0.35">
      <c r="A86" s="3">
        <v>536377</v>
      </c>
      <c r="B86" s="3">
        <v>22632</v>
      </c>
      <c r="C86" s="3" t="s">
        <v>76</v>
      </c>
      <c r="D86" s="9">
        <v>6</v>
      </c>
      <c r="E86" s="4">
        <v>40278</v>
      </c>
      <c r="F86" s="5">
        <v>0.39861111111111114</v>
      </c>
      <c r="G86" s="6">
        <v>1.85</v>
      </c>
      <c r="H86" s="3">
        <v>17850</v>
      </c>
      <c r="I86" s="3" t="s">
        <v>5</v>
      </c>
      <c r="J86" s="3" t="str">
        <f t="shared" si="3"/>
        <v>Sale</v>
      </c>
      <c r="K86" s="6">
        <f t="shared" si="4"/>
        <v>11.100000000000001</v>
      </c>
      <c r="L86" s="6">
        <f t="shared" si="5"/>
        <v>11.100000000000001</v>
      </c>
    </row>
    <row r="87" spans="1:12" x14ac:dyDescent="0.35">
      <c r="A87" s="3">
        <v>536377</v>
      </c>
      <c r="B87" s="3">
        <v>22633</v>
      </c>
      <c r="C87" s="3" t="s">
        <v>75</v>
      </c>
      <c r="D87" s="9">
        <v>6</v>
      </c>
      <c r="E87" s="4">
        <v>40279</v>
      </c>
      <c r="F87" s="5">
        <v>0.39861111111111114</v>
      </c>
      <c r="G87" s="6">
        <v>1.85</v>
      </c>
      <c r="H87" s="3">
        <v>17850</v>
      </c>
      <c r="I87" s="3" t="s">
        <v>5</v>
      </c>
      <c r="J87" s="3" t="str">
        <f t="shared" si="3"/>
        <v>Sale</v>
      </c>
      <c r="K87" s="6">
        <f t="shared" si="4"/>
        <v>11.100000000000001</v>
      </c>
      <c r="L87" s="6">
        <f t="shared" si="5"/>
        <v>11.100000000000001</v>
      </c>
    </row>
    <row r="88" spans="1:12" x14ac:dyDescent="0.35">
      <c r="A88" s="3">
        <v>536378</v>
      </c>
      <c r="B88" s="3">
        <v>22386</v>
      </c>
      <c r="C88" s="3" t="s">
        <v>127</v>
      </c>
      <c r="D88" s="9">
        <v>10</v>
      </c>
      <c r="E88" s="4">
        <v>40280</v>
      </c>
      <c r="F88" s="5">
        <v>0.40069444444444446</v>
      </c>
      <c r="G88" s="6">
        <v>1.95</v>
      </c>
      <c r="H88" s="3">
        <v>14688</v>
      </c>
      <c r="I88" s="3" t="s">
        <v>5</v>
      </c>
      <c r="J88" s="3" t="str">
        <f t="shared" si="3"/>
        <v>Sale</v>
      </c>
      <c r="K88" s="6">
        <f t="shared" si="4"/>
        <v>19.5</v>
      </c>
      <c r="L88" s="6">
        <f t="shared" si="5"/>
        <v>19.5</v>
      </c>
    </row>
    <row r="89" spans="1:12" x14ac:dyDescent="0.35">
      <c r="A89" s="3">
        <v>536378</v>
      </c>
      <c r="B89" s="3" t="s">
        <v>12</v>
      </c>
      <c r="C89" s="3" t="s">
        <v>128</v>
      </c>
      <c r="D89" s="9">
        <v>10</v>
      </c>
      <c r="E89" s="4">
        <v>40281</v>
      </c>
      <c r="F89" s="5">
        <v>0.40069444444444446</v>
      </c>
      <c r="G89" s="6">
        <v>1.95</v>
      </c>
      <c r="H89" s="3">
        <v>14688</v>
      </c>
      <c r="I89" s="3" t="s">
        <v>5</v>
      </c>
      <c r="J89" s="3" t="str">
        <f t="shared" si="3"/>
        <v>Sale</v>
      </c>
      <c r="K89" s="6">
        <f t="shared" si="4"/>
        <v>19.5</v>
      </c>
      <c r="L89" s="6">
        <f t="shared" si="5"/>
        <v>19.5</v>
      </c>
    </row>
    <row r="90" spans="1:12" x14ac:dyDescent="0.35">
      <c r="A90" s="3">
        <v>536378</v>
      </c>
      <c r="B90" s="3">
        <v>21033</v>
      </c>
      <c r="C90" s="3" t="s">
        <v>129</v>
      </c>
      <c r="D90" s="9">
        <v>10</v>
      </c>
      <c r="E90" s="4">
        <v>40282</v>
      </c>
      <c r="F90" s="5">
        <v>0.40069444444444446</v>
      </c>
      <c r="G90" s="6">
        <v>2.95</v>
      </c>
      <c r="H90" s="3">
        <v>14688</v>
      </c>
      <c r="I90" s="3" t="s">
        <v>5</v>
      </c>
      <c r="J90" s="3" t="str">
        <f t="shared" si="3"/>
        <v>Sale</v>
      </c>
      <c r="K90" s="6">
        <f t="shared" si="4"/>
        <v>29.5</v>
      </c>
      <c r="L90" s="6">
        <f t="shared" si="5"/>
        <v>29.5</v>
      </c>
    </row>
    <row r="91" spans="1:12" x14ac:dyDescent="0.35">
      <c r="A91" s="3">
        <v>536378</v>
      </c>
      <c r="B91" s="3">
        <v>20723</v>
      </c>
      <c r="C91" s="3" t="s">
        <v>130</v>
      </c>
      <c r="D91" s="9">
        <v>10</v>
      </c>
      <c r="E91" s="4">
        <v>40283</v>
      </c>
      <c r="F91" s="5">
        <v>0.40069444444444446</v>
      </c>
      <c r="G91" s="6">
        <v>0.85</v>
      </c>
      <c r="H91" s="3">
        <v>14688</v>
      </c>
      <c r="I91" s="3" t="s">
        <v>5</v>
      </c>
      <c r="J91" s="3" t="str">
        <f t="shared" si="3"/>
        <v>Sale</v>
      </c>
      <c r="K91" s="6">
        <f t="shared" si="4"/>
        <v>8.5</v>
      </c>
      <c r="L91" s="6">
        <f t="shared" si="5"/>
        <v>8.5</v>
      </c>
    </row>
    <row r="92" spans="1:12" x14ac:dyDescent="0.35">
      <c r="A92" s="3">
        <v>536378</v>
      </c>
      <c r="B92" s="3" t="s">
        <v>13</v>
      </c>
      <c r="C92" s="3" t="s">
        <v>131</v>
      </c>
      <c r="D92" s="9">
        <v>12</v>
      </c>
      <c r="E92" s="4">
        <v>40284</v>
      </c>
      <c r="F92" s="5">
        <v>0.40069444444444446</v>
      </c>
      <c r="G92" s="6">
        <v>3.75</v>
      </c>
      <c r="H92" s="3">
        <v>14688</v>
      </c>
      <c r="I92" s="3" t="s">
        <v>5</v>
      </c>
      <c r="J92" s="3" t="str">
        <f t="shared" si="3"/>
        <v>Sale</v>
      </c>
      <c r="K92" s="6">
        <f t="shared" si="4"/>
        <v>45</v>
      </c>
      <c r="L92" s="6">
        <f t="shared" si="5"/>
        <v>45</v>
      </c>
    </row>
    <row r="93" spans="1:12" x14ac:dyDescent="0.35">
      <c r="A93" s="3">
        <v>536378</v>
      </c>
      <c r="B93" s="3" t="s">
        <v>14</v>
      </c>
      <c r="C93" s="3" t="s">
        <v>132</v>
      </c>
      <c r="D93" s="9">
        <v>6</v>
      </c>
      <c r="E93" s="4">
        <v>40285</v>
      </c>
      <c r="F93" s="5">
        <v>0.40069444444444446</v>
      </c>
      <c r="G93" s="6">
        <v>3.75</v>
      </c>
      <c r="H93" s="3">
        <v>14688</v>
      </c>
      <c r="I93" s="3" t="s">
        <v>5</v>
      </c>
      <c r="J93" s="3" t="str">
        <f t="shared" si="3"/>
        <v>Sale</v>
      </c>
      <c r="K93" s="6">
        <f t="shared" si="4"/>
        <v>22.5</v>
      </c>
      <c r="L93" s="6">
        <f t="shared" si="5"/>
        <v>22.5</v>
      </c>
    </row>
    <row r="94" spans="1:12" x14ac:dyDescent="0.35">
      <c r="A94" s="3">
        <v>536378</v>
      </c>
      <c r="B94" s="3">
        <v>21094</v>
      </c>
      <c r="C94" s="3" t="s">
        <v>133</v>
      </c>
      <c r="D94" s="9">
        <v>12</v>
      </c>
      <c r="E94" s="4">
        <v>40286</v>
      </c>
      <c r="F94" s="5">
        <v>0.40069444444444446</v>
      </c>
      <c r="G94" s="6">
        <v>0.85</v>
      </c>
      <c r="H94" s="3">
        <v>14688</v>
      </c>
      <c r="I94" s="3" t="s">
        <v>5</v>
      </c>
      <c r="J94" s="3" t="str">
        <f t="shared" si="3"/>
        <v>Sale</v>
      </c>
      <c r="K94" s="6">
        <f t="shared" si="4"/>
        <v>10.199999999999999</v>
      </c>
      <c r="L94" s="6">
        <f t="shared" si="5"/>
        <v>10.199999999999999</v>
      </c>
    </row>
    <row r="95" spans="1:12" x14ac:dyDescent="0.35">
      <c r="A95" s="3">
        <v>536378</v>
      </c>
      <c r="B95" s="3">
        <v>20725</v>
      </c>
      <c r="C95" s="3" t="s">
        <v>134</v>
      </c>
      <c r="D95" s="9">
        <v>10</v>
      </c>
      <c r="E95" s="4">
        <v>40287</v>
      </c>
      <c r="F95" s="5">
        <v>0.40069444444444446</v>
      </c>
      <c r="G95" s="6">
        <v>1.65</v>
      </c>
      <c r="H95" s="3">
        <v>14688</v>
      </c>
      <c r="I95" s="3" t="s">
        <v>5</v>
      </c>
      <c r="J95" s="3" t="str">
        <f t="shared" si="3"/>
        <v>Sale</v>
      </c>
      <c r="K95" s="6">
        <f t="shared" si="4"/>
        <v>16.5</v>
      </c>
      <c r="L95" s="6">
        <f t="shared" si="5"/>
        <v>16.5</v>
      </c>
    </row>
    <row r="96" spans="1:12" x14ac:dyDescent="0.35">
      <c r="A96" s="3">
        <v>536378</v>
      </c>
      <c r="B96" s="3">
        <v>21559</v>
      </c>
      <c r="C96" s="3" t="s">
        <v>135</v>
      </c>
      <c r="D96" s="9">
        <v>6</v>
      </c>
      <c r="E96" s="4">
        <v>40288</v>
      </c>
      <c r="F96" s="5">
        <v>0.40069444444444446</v>
      </c>
      <c r="G96" s="6">
        <v>2.5499999999999998</v>
      </c>
      <c r="H96" s="3">
        <v>14688</v>
      </c>
      <c r="I96" s="3" t="s">
        <v>5</v>
      </c>
      <c r="J96" s="3" t="str">
        <f t="shared" si="3"/>
        <v>Sale</v>
      </c>
      <c r="K96" s="6">
        <f t="shared" si="4"/>
        <v>15.299999999999999</v>
      </c>
      <c r="L96" s="6">
        <f t="shared" si="5"/>
        <v>15.299999999999999</v>
      </c>
    </row>
    <row r="97" spans="1:12" x14ac:dyDescent="0.35">
      <c r="A97" s="3">
        <v>536378</v>
      </c>
      <c r="B97" s="3">
        <v>22352</v>
      </c>
      <c r="C97" s="3" t="s">
        <v>136</v>
      </c>
      <c r="D97" s="9">
        <v>6</v>
      </c>
      <c r="E97" s="4">
        <v>40289</v>
      </c>
      <c r="F97" s="5">
        <v>0.40069444444444446</v>
      </c>
      <c r="G97" s="6">
        <v>2.5499999999999998</v>
      </c>
      <c r="H97" s="3">
        <v>14688</v>
      </c>
      <c r="I97" s="3" t="s">
        <v>5</v>
      </c>
      <c r="J97" s="3" t="str">
        <f t="shared" si="3"/>
        <v>Sale</v>
      </c>
      <c r="K97" s="6">
        <f t="shared" si="4"/>
        <v>15.299999999999999</v>
      </c>
      <c r="L97" s="6">
        <f t="shared" si="5"/>
        <v>15.299999999999999</v>
      </c>
    </row>
    <row r="98" spans="1:12" x14ac:dyDescent="0.35">
      <c r="A98" s="3">
        <v>536378</v>
      </c>
      <c r="B98" s="3">
        <v>21212</v>
      </c>
      <c r="C98" s="3" t="s">
        <v>137</v>
      </c>
      <c r="D98" s="9">
        <v>120</v>
      </c>
      <c r="E98" s="4">
        <v>40290</v>
      </c>
      <c r="F98" s="5">
        <v>0.40069444444444446</v>
      </c>
      <c r="G98" s="6">
        <v>0.42</v>
      </c>
      <c r="H98" s="3">
        <v>14688</v>
      </c>
      <c r="I98" s="3" t="s">
        <v>5</v>
      </c>
      <c r="J98" s="3" t="str">
        <f t="shared" si="3"/>
        <v>Sale</v>
      </c>
      <c r="K98" s="6">
        <f t="shared" si="4"/>
        <v>50.4</v>
      </c>
      <c r="L98" s="6">
        <f t="shared" si="5"/>
        <v>50.4</v>
      </c>
    </row>
    <row r="99" spans="1:12" x14ac:dyDescent="0.35">
      <c r="A99" s="3">
        <v>536378</v>
      </c>
      <c r="B99" s="3">
        <v>21975</v>
      </c>
      <c r="C99" s="3" t="s">
        <v>138</v>
      </c>
      <c r="D99" s="9">
        <v>24</v>
      </c>
      <c r="E99" s="4">
        <v>40291</v>
      </c>
      <c r="F99" s="5">
        <v>0.40069444444444446</v>
      </c>
      <c r="G99" s="6">
        <v>0.55000000000000004</v>
      </c>
      <c r="H99" s="3">
        <v>14688</v>
      </c>
      <c r="I99" s="3" t="s">
        <v>5</v>
      </c>
      <c r="J99" s="3" t="str">
        <f t="shared" si="3"/>
        <v>Sale</v>
      </c>
      <c r="K99" s="6">
        <f t="shared" si="4"/>
        <v>13.200000000000001</v>
      </c>
      <c r="L99" s="6">
        <f t="shared" si="5"/>
        <v>13.200000000000001</v>
      </c>
    </row>
    <row r="100" spans="1:12" x14ac:dyDescent="0.35">
      <c r="A100" s="3">
        <v>536378</v>
      </c>
      <c r="B100" s="3">
        <v>21977</v>
      </c>
      <c r="C100" s="3" t="s">
        <v>139</v>
      </c>
      <c r="D100" s="9">
        <v>24</v>
      </c>
      <c r="E100" s="4">
        <v>40292</v>
      </c>
      <c r="F100" s="5">
        <v>0.40069444444444446</v>
      </c>
      <c r="G100" s="6">
        <v>0.55000000000000004</v>
      </c>
      <c r="H100" s="3">
        <v>14688</v>
      </c>
      <c r="I100" s="3" t="s">
        <v>5</v>
      </c>
      <c r="J100" s="3" t="str">
        <f t="shared" si="3"/>
        <v>Sale</v>
      </c>
      <c r="K100" s="6">
        <f t="shared" si="4"/>
        <v>13.200000000000001</v>
      </c>
      <c r="L100" s="6">
        <f t="shared" si="5"/>
        <v>13.200000000000001</v>
      </c>
    </row>
    <row r="101" spans="1:12" x14ac:dyDescent="0.35">
      <c r="A101" s="3">
        <v>536378</v>
      </c>
      <c r="B101" s="3">
        <v>84991</v>
      </c>
      <c r="C101" s="3" t="s">
        <v>140</v>
      </c>
      <c r="D101" s="9">
        <v>24</v>
      </c>
      <c r="E101" s="4">
        <v>40293</v>
      </c>
      <c r="F101" s="5">
        <v>0.40069444444444446</v>
      </c>
      <c r="G101" s="6">
        <v>0.55000000000000004</v>
      </c>
      <c r="H101" s="3">
        <v>14688</v>
      </c>
      <c r="I101" s="3" t="s">
        <v>5</v>
      </c>
      <c r="J101" s="3" t="str">
        <f t="shared" si="3"/>
        <v>Sale</v>
      </c>
      <c r="K101" s="6">
        <f t="shared" si="4"/>
        <v>13.200000000000001</v>
      </c>
      <c r="L101" s="6">
        <f t="shared" si="5"/>
        <v>13.200000000000001</v>
      </c>
    </row>
    <row r="102" spans="1:12" x14ac:dyDescent="0.35">
      <c r="A102" s="3">
        <v>536378</v>
      </c>
      <c r="B102" s="3" t="s">
        <v>15</v>
      </c>
      <c r="C102" s="3" t="s">
        <v>141</v>
      </c>
      <c r="D102" s="9">
        <v>6</v>
      </c>
      <c r="E102" s="4">
        <v>40294</v>
      </c>
      <c r="F102" s="5">
        <v>0.40069444444444446</v>
      </c>
      <c r="G102" s="6">
        <v>2.95</v>
      </c>
      <c r="H102" s="3">
        <v>14688</v>
      </c>
      <c r="I102" s="3" t="s">
        <v>5</v>
      </c>
      <c r="J102" s="3" t="str">
        <f t="shared" si="3"/>
        <v>Sale</v>
      </c>
      <c r="K102" s="6">
        <f t="shared" si="4"/>
        <v>17.700000000000003</v>
      </c>
      <c r="L102" s="6">
        <f t="shared" si="5"/>
        <v>17.700000000000003</v>
      </c>
    </row>
    <row r="103" spans="1:12" x14ac:dyDescent="0.35">
      <c r="A103" s="3">
        <v>536378</v>
      </c>
      <c r="B103" s="3" t="s">
        <v>16</v>
      </c>
      <c r="C103" s="3" t="s">
        <v>142</v>
      </c>
      <c r="D103" s="9">
        <v>48</v>
      </c>
      <c r="E103" s="4">
        <v>40295</v>
      </c>
      <c r="F103" s="5">
        <v>0.40069444444444446</v>
      </c>
      <c r="G103" s="6">
        <v>1.25</v>
      </c>
      <c r="H103" s="3">
        <v>14688</v>
      </c>
      <c r="I103" s="3" t="s">
        <v>5</v>
      </c>
      <c r="J103" s="3" t="str">
        <f t="shared" si="3"/>
        <v>Sale</v>
      </c>
      <c r="K103" s="6">
        <f t="shared" si="4"/>
        <v>60</v>
      </c>
      <c r="L103" s="6">
        <f t="shared" si="5"/>
        <v>60</v>
      </c>
    </row>
    <row r="104" spans="1:12" x14ac:dyDescent="0.35">
      <c r="A104" s="3">
        <v>536378</v>
      </c>
      <c r="B104" s="3" t="s">
        <v>17</v>
      </c>
      <c r="C104" s="3" t="s">
        <v>143</v>
      </c>
      <c r="D104" s="9">
        <v>96</v>
      </c>
      <c r="E104" s="4">
        <v>40296</v>
      </c>
      <c r="F104" s="5">
        <v>0.40069444444444446</v>
      </c>
      <c r="G104" s="6">
        <v>0.38</v>
      </c>
      <c r="H104" s="3">
        <v>14688</v>
      </c>
      <c r="I104" s="3" t="s">
        <v>5</v>
      </c>
      <c r="J104" s="3" t="str">
        <f t="shared" si="3"/>
        <v>Sale</v>
      </c>
      <c r="K104" s="6">
        <f t="shared" si="4"/>
        <v>36.480000000000004</v>
      </c>
      <c r="L104" s="6">
        <f t="shared" si="5"/>
        <v>36.480000000000004</v>
      </c>
    </row>
    <row r="105" spans="1:12" x14ac:dyDescent="0.35">
      <c r="A105" s="3">
        <v>536378</v>
      </c>
      <c r="B105" s="3">
        <v>21931</v>
      </c>
      <c r="C105" s="3" t="s">
        <v>144</v>
      </c>
      <c r="D105" s="9">
        <v>10</v>
      </c>
      <c r="E105" s="4">
        <v>40297</v>
      </c>
      <c r="F105" s="5">
        <v>0.40069444444444446</v>
      </c>
      <c r="G105" s="6">
        <v>1.95</v>
      </c>
      <c r="H105" s="3">
        <v>14688</v>
      </c>
      <c r="I105" s="3" t="s">
        <v>5</v>
      </c>
      <c r="J105" s="3" t="str">
        <f t="shared" si="3"/>
        <v>Sale</v>
      </c>
      <c r="K105" s="6">
        <f t="shared" si="4"/>
        <v>19.5</v>
      </c>
      <c r="L105" s="6">
        <f t="shared" si="5"/>
        <v>19.5</v>
      </c>
    </row>
    <row r="106" spans="1:12" x14ac:dyDescent="0.35">
      <c r="A106" s="3">
        <v>536378</v>
      </c>
      <c r="B106" s="3">
        <v>21929</v>
      </c>
      <c r="C106" s="3" t="s">
        <v>145</v>
      </c>
      <c r="D106" s="9">
        <v>10</v>
      </c>
      <c r="E106" s="4">
        <v>40298</v>
      </c>
      <c r="F106" s="5">
        <v>0.40069444444444446</v>
      </c>
      <c r="G106" s="6">
        <v>1.95</v>
      </c>
      <c r="H106" s="3">
        <v>14688</v>
      </c>
      <c r="I106" s="3" t="s">
        <v>5</v>
      </c>
      <c r="J106" s="3" t="str">
        <f t="shared" si="3"/>
        <v>Sale</v>
      </c>
      <c r="K106" s="6">
        <f t="shared" si="4"/>
        <v>19.5</v>
      </c>
      <c r="L106" s="6">
        <f t="shared" si="5"/>
        <v>19.5</v>
      </c>
    </row>
    <row r="107" spans="1:12" x14ac:dyDescent="0.35">
      <c r="A107" s="3">
        <v>536380</v>
      </c>
      <c r="B107" s="3">
        <v>22961</v>
      </c>
      <c r="C107" s="3" t="s">
        <v>146</v>
      </c>
      <c r="D107" s="9">
        <v>24</v>
      </c>
      <c r="E107" s="4">
        <v>40299</v>
      </c>
      <c r="F107" s="5">
        <v>0.40347222222222223</v>
      </c>
      <c r="G107" s="6">
        <v>1.45</v>
      </c>
      <c r="H107" s="3">
        <v>17809</v>
      </c>
      <c r="I107" s="3" t="s">
        <v>5</v>
      </c>
      <c r="J107" s="3" t="str">
        <f t="shared" si="3"/>
        <v>Sale</v>
      </c>
      <c r="K107" s="6">
        <f t="shared" si="4"/>
        <v>34.799999999999997</v>
      </c>
      <c r="L107" s="6">
        <f t="shared" si="5"/>
        <v>34.799999999999997</v>
      </c>
    </row>
    <row r="108" spans="1:12" x14ac:dyDescent="0.35">
      <c r="A108" s="3">
        <v>536381</v>
      </c>
      <c r="B108" s="3">
        <v>22139</v>
      </c>
      <c r="C108" s="3" t="s">
        <v>147</v>
      </c>
      <c r="D108" s="9">
        <v>23</v>
      </c>
      <c r="E108" s="4">
        <v>40300</v>
      </c>
      <c r="F108" s="5">
        <v>0.40347222222222223</v>
      </c>
      <c r="G108" s="6">
        <v>4.25</v>
      </c>
      <c r="H108" s="3">
        <v>15311</v>
      </c>
      <c r="I108" s="3" t="s">
        <v>5</v>
      </c>
      <c r="J108" s="3" t="str">
        <f t="shared" si="3"/>
        <v>Sale</v>
      </c>
      <c r="K108" s="6">
        <f t="shared" si="4"/>
        <v>97.75</v>
      </c>
      <c r="L108" s="6">
        <f t="shared" si="5"/>
        <v>97.75</v>
      </c>
    </row>
    <row r="109" spans="1:12" x14ac:dyDescent="0.35">
      <c r="A109" s="3">
        <v>536381</v>
      </c>
      <c r="B109" s="3">
        <v>84854</v>
      </c>
      <c r="C109" s="3" t="s">
        <v>148</v>
      </c>
      <c r="D109" s="9">
        <v>5</v>
      </c>
      <c r="E109" s="4">
        <v>40301</v>
      </c>
      <c r="F109" s="5">
        <v>0.40347222222222223</v>
      </c>
      <c r="G109" s="6">
        <v>4.95</v>
      </c>
      <c r="H109" s="3">
        <v>15311</v>
      </c>
      <c r="I109" s="3" t="s">
        <v>5</v>
      </c>
      <c r="J109" s="3" t="str">
        <f t="shared" si="3"/>
        <v>Sale</v>
      </c>
      <c r="K109" s="6">
        <f t="shared" si="4"/>
        <v>24.75</v>
      </c>
      <c r="L109" s="6">
        <f t="shared" si="5"/>
        <v>24.75</v>
      </c>
    </row>
    <row r="110" spans="1:12" x14ac:dyDescent="0.35">
      <c r="A110" s="3">
        <v>536381</v>
      </c>
      <c r="B110" s="3">
        <v>22411</v>
      </c>
      <c r="C110" s="3" t="s">
        <v>149</v>
      </c>
      <c r="D110" s="9">
        <v>10</v>
      </c>
      <c r="E110" s="4">
        <v>40302</v>
      </c>
      <c r="F110" s="5">
        <v>0.40347222222222223</v>
      </c>
      <c r="G110" s="6">
        <v>1.95</v>
      </c>
      <c r="H110" s="3">
        <v>15311</v>
      </c>
      <c r="I110" s="3" t="s">
        <v>5</v>
      </c>
      <c r="J110" s="3" t="str">
        <f t="shared" si="3"/>
        <v>Sale</v>
      </c>
      <c r="K110" s="6">
        <f t="shared" si="4"/>
        <v>19.5</v>
      </c>
      <c r="L110" s="6">
        <f t="shared" si="5"/>
        <v>19.5</v>
      </c>
    </row>
    <row r="111" spans="1:12" x14ac:dyDescent="0.35">
      <c r="A111" s="3">
        <v>536381</v>
      </c>
      <c r="B111" s="3">
        <v>82567</v>
      </c>
      <c r="C111" s="3" t="s">
        <v>150</v>
      </c>
      <c r="D111" s="9">
        <v>2</v>
      </c>
      <c r="E111" s="4">
        <v>40303</v>
      </c>
      <c r="F111" s="5">
        <v>0.40347222222222223</v>
      </c>
      <c r="G111" s="6">
        <v>2.1</v>
      </c>
      <c r="H111" s="3">
        <v>15311</v>
      </c>
      <c r="I111" s="3" t="s">
        <v>5</v>
      </c>
      <c r="J111" s="3" t="str">
        <f t="shared" si="3"/>
        <v>Sale</v>
      </c>
      <c r="K111" s="6">
        <f t="shared" si="4"/>
        <v>4.2</v>
      </c>
      <c r="L111" s="6">
        <f t="shared" si="5"/>
        <v>4.2</v>
      </c>
    </row>
    <row r="112" spans="1:12" x14ac:dyDescent="0.35">
      <c r="A112" s="3">
        <v>536381</v>
      </c>
      <c r="B112" s="3">
        <v>21672</v>
      </c>
      <c r="C112" s="3" t="s">
        <v>151</v>
      </c>
      <c r="D112" s="9">
        <v>6</v>
      </c>
      <c r="E112" s="4">
        <v>40304</v>
      </c>
      <c r="F112" s="5">
        <v>0.40347222222222223</v>
      </c>
      <c r="G112" s="6">
        <v>1.25</v>
      </c>
      <c r="H112" s="3">
        <v>15311</v>
      </c>
      <c r="I112" s="3" t="s">
        <v>5</v>
      </c>
      <c r="J112" s="3" t="str">
        <f t="shared" si="3"/>
        <v>Sale</v>
      </c>
      <c r="K112" s="6">
        <f t="shared" si="4"/>
        <v>7.5</v>
      </c>
      <c r="L112" s="6">
        <f t="shared" si="5"/>
        <v>7.5</v>
      </c>
    </row>
    <row r="113" spans="1:12" x14ac:dyDescent="0.35">
      <c r="A113" s="3">
        <v>536381</v>
      </c>
      <c r="B113" s="3">
        <v>22774</v>
      </c>
      <c r="C113" s="3" t="s">
        <v>152</v>
      </c>
      <c r="D113" s="9">
        <v>24</v>
      </c>
      <c r="E113" s="4">
        <v>40305</v>
      </c>
      <c r="F113" s="5">
        <v>0.40347222222222223</v>
      </c>
      <c r="G113" s="6">
        <v>1.25</v>
      </c>
      <c r="H113" s="3">
        <v>15311</v>
      </c>
      <c r="I113" s="3" t="s">
        <v>5</v>
      </c>
      <c r="J113" s="3" t="str">
        <f t="shared" si="3"/>
        <v>Sale</v>
      </c>
      <c r="K113" s="6">
        <f t="shared" si="4"/>
        <v>30</v>
      </c>
      <c r="L113" s="6">
        <f t="shared" si="5"/>
        <v>30</v>
      </c>
    </row>
    <row r="114" spans="1:12" x14ac:dyDescent="0.35">
      <c r="A114" s="3">
        <v>536381</v>
      </c>
      <c r="B114" s="3">
        <v>22771</v>
      </c>
      <c r="C114" s="3" t="s">
        <v>153</v>
      </c>
      <c r="D114" s="9">
        <v>24</v>
      </c>
      <c r="E114" s="4">
        <v>40306</v>
      </c>
      <c r="F114" s="5">
        <v>0.40347222222222223</v>
      </c>
      <c r="G114" s="6">
        <v>1.25</v>
      </c>
      <c r="H114" s="3">
        <v>15311</v>
      </c>
      <c r="I114" s="3" t="s">
        <v>5</v>
      </c>
      <c r="J114" s="3" t="str">
        <f t="shared" si="3"/>
        <v>Sale</v>
      </c>
      <c r="K114" s="6">
        <f t="shared" si="4"/>
        <v>30</v>
      </c>
      <c r="L114" s="6">
        <f t="shared" si="5"/>
        <v>30</v>
      </c>
    </row>
    <row r="115" spans="1:12" x14ac:dyDescent="0.35">
      <c r="A115" s="3">
        <v>536381</v>
      </c>
      <c r="B115" s="3">
        <v>71270</v>
      </c>
      <c r="C115" s="3" t="s">
        <v>154</v>
      </c>
      <c r="D115" s="9">
        <v>1</v>
      </c>
      <c r="E115" s="4">
        <v>40307</v>
      </c>
      <c r="F115" s="5">
        <v>0.40347222222222223</v>
      </c>
      <c r="G115" s="6">
        <v>1.25</v>
      </c>
      <c r="H115" s="3">
        <v>15311</v>
      </c>
      <c r="I115" s="3" t="s">
        <v>5</v>
      </c>
      <c r="J115" s="3" t="str">
        <f t="shared" si="3"/>
        <v>Sale</v>
      </c>
      <c r="K115" s="6">
        <f t="shared" si="4"/>
        <v>1.25</v>
      </c>
      <c r="L115" s="6">
        <f t="shared" si="5"/>
        <v>1.25</v>
      </c>
    </row>
    <row r="116" spans="1:12" x14ac:dyDescent="0.35">
      <c r="A116" s="3">
        <v>536381</v>
      </c>
      <c r="B116" s="3">
        <v>22262</v>
      </c>
      <c r="C116" s="3" t="s">
        <v>155</v>
      </c>
      <c r="D116" s="9">
        <v>1</v>
      </c>
      <c r="E116" s="4">
        <v>40308</v>
      </c>
      <c r="F116" s="5">
        <v>0.40347222222222223</v>
      </c>
      <c r="G116" s="6">
        <v>0.85</v>
      </c>
      <c r="H116" s="3">
        <v>15311</v>
      </c>
      <c r="I116" s="3" t="s">
        <v>5</v>
      </c>
      <c r="J116" s="3" t="str">
        <f t="shared" si="3"/>
        <v>Sale</v>
      </c>
      <c r="K116" s="6">
        <f t="shared" si="4"/>
        <v>0.85</v>
      </c>
      <c r="L116" s="6">
        <f t="shared" si="5"/>
        <v>0.85</v>
      </c>
    </row>
    <row r="117" spans="1:12" x14ac:dyDescent="0.35">
      <c r="A117" s="3">
        <v>536381</v>
      </c>
      <c r="B117" s="3">
        <v>22637</v>
      </c>
      <c r="C117" s="3" t="s">
        <v>156</v>
      </c>
      <c r="D117" s="9">
        <v>1</v>
      </c>
      <c r="E117" s="4">
        <v>40309</v>
      </c>
      <c r="F117" s="5">
        <v>0.40347222222222223</v>
      </c>
      <c r="G117" s="6">
        <v>2.5499999999999998</v>
      </c>
      <c r="H117" s="3">
        <v>15311</v>
      </c>
      <c r="I117" s="3" t="s">
        <v>5</v>
      </c>
      <c r="J117" s="3" t="str">
        <f t="shared" si="3"/>
        <v>Sale</v>
      </c>
      <c r="K117" s="6">
        <f t="shared" si="4"/>
        <v>2.5499999999999998</v>
      </c>
      <c r="L117" s="6">
        <f t="shared" si="5"/>
        <v>2.5499999999999998</v>
      </c>
    </row>
    <row r="118" spans="1:12" x14ac:dyDescent="0.35">
      <c r="A118" s="3">
        <v>536381</v>
      </c>
      <c r="B118" s="3">
        <v>21934</v>
      </c>
      <c r="C118" s="3" t="s">
        <v>157</v>
      </c>
      <c r="D118" s="9">
        <v>10</v>
      </c>
      <c r="E118" s="4">
        <v>40310</v>
      </c>
      <c r="F118" s="5">
        <v>0.40347222222222223</v>
      </c>
      <c r="G118" s="6">
        <v>1.65</v>
      </c>
      <c r="H118" s="3">
        <v>15311</v>
      </c>
      <c r="I118" s="3" t="s">
        <v>5</v>
      </c>
      <c r="J118" s="3" t="str">
        <f t="shared" si="3"/>
        <v>Sale</v>
      </c>
      <c r="K118" s="6">
        <f t="shared" si="4"/>
        <v>16.5</v>
      </c>
      <c r="L118" s="6">
        <f t="shared" si="5"/>
        <v>16.5</v>
      </c>
    </row>
    <row r="119" spans="1:12" x14ac:dyDescent="0.35">
      <c r="A119" s="3">
        <v>536381</v>
      </c>
      <c r="B119" s="3">
        <v>21169</v>
      </c>
      <c r="C119" s="3" t="s">
        <v>158</v>
      </c>
      <c r="D119" s="9">
        <v>3</v>
      </c>
      <c r="E119" s="4">
        <v>40311</v>
      </c>
      <c r="F119" s="5">
        <v>0.40347222222222223</v>
      </c>
      <c r="G119" s="6">
        <v>1.69</v>
      </c>
      <c r="H119" s="3">
        <v>15311</v>
      </c>
      <c r="I119" s="3" t="s">
        <v>5</v>
      </c>
      <c r="J119" s="3" t="str">
        <f t="shared" si="3"/>
        <v>Sale</v>
      </c>
      <c r="K119" s="6">
        <f t="shared" si="4"/>
        <v>5.07</v>
      </c>
      <c r="L119" s="6">
        <f t="shared" si="5"/>
        <v>5.07</v>
      </c>
    </row>
    <row r="120" spans="1:12" x14ac:dyDescent="0.35">
      <c r="A120" s="3">
        <v>536381</v>
      </c>
      <c r="B120" s="3">
        <v>21166</v>
      </c>
      <c r="C120" s="3" t="s">
        <v>159</v>
      </c>
      <c r="D120" s="9">
        <v>1</v>
      </c>
      <c r="E120" s="4">
        <v>40311</v>
      </c>
      <c r="F120" s="5">
        <v>0.40347222222222223</v>
      </c>
      <c r="G120" s="6">
        <v>1.95</v>
      </c>
      <c r="H120" s="3">
        <v>15311</v>
      </c>
      <c r="I120" s="3" t="s">
        <v>5</v>
      </c>
      <c r="J120" s="3" t="str">
        <f t="shared" si="3"/>
        <v>Sale</v>
      </c>
      <c r="K120" s="6">
        <f t="shared" si="4"/>
        <v>1.95</v>
      </c>
      <c r="L120" s="6">
        <f t="shared" si="5"/>
        <v>1.95</v>
      </c>
    </row>
    <row r="121" spans="1:12" x14ac:dyDescent="0.35">
      <c r="A121" s="3">
        <v>536381</v>
      </c>
      <c r="B121" s="3">
        <v>21175</v>
      </c>
      <c r="C121" s="3" t="s">
        <v>160</v>
      </c>
      <c r="D121" s="9">
        <v>2</v>
      </c>
      <c r="E121" s="4">
        <v>40311</v>
      </c>
      <c r="F121" s="5">
        <v>0.40347222222222223</v>
      </c>
      <c r="G121" s="6">
        <v>2.1</v>
      </c>
      <c r="H121" s="3">
        <v>15311</v>
      </c>
      <c r="I121" s="3" t="s">
        <v>5</v>
      </c>
      <c r="J121" s="3" t="str">
        <f t="shared" si="3"/>
        <v>Sale</v>
      </c>
      <c r="K121" s="6">
        <f t="shared" si="4"/>
        <v>4.2</v>
      </c>
      <c r="L121" s="6">
        <f t="shared" si="5"/>
        <v>4.2</v>
      </c>
    </row>
    <row r="122" spans="1:12" x14ac:dyDescent="0.35">
      <c r="A122" s="3">
        <v>536381</v>
      </c>
      <c r="B122" s="3" t="s">
        <v>18</v>
      </c>
      <c r="C122" s="3" t="s">
        <v>161</v>
      </c>
      <c r="D122" s="9">
        <v>1</v>
      </c>
      <c r="E122" s="4">
        <v>40311</v>
      </c>
      <c r="F122" s="5">
        <v>0.40347222222222223</v>
      </c>
      <c r="G122" s="6">
        <v>2.95</v>
      </c>
      <c r="H122" s="3">
        <v>15311</v>
      </c>
      <c r="I122" s="3" t="s">
        <v>5</v>
      </c>
      <c r="J122" s="3" t="str">
        <f t="shared" si="3"/>
        <v>Sale</v>
      </c>
      <c r="K122" s="6">
        <f t="shared" si="4"/>
        <v>2.95</v>
      </c>
      <c r="L122" s="6">
        <f t="shared" si="5"/>
        <v>2.95</v>
      </c>
    </row>
    <row r="123" spans="1:12" x14ac:dyDescent="0.35">
      <c r="A123" s="3">
        <v>536381</v>
      </c>
      <c r="B123" s="3" t="s">
        <v>19</v>
      </c>
      <c r="C123" s="3" t="s">
        <v>162</v>
      </c>
      <c r="D123" s="9">
        <v>1</v>
      </c>
      <c r="E123" s="4">
        <v>40312</v>
      </c>
      <c r="F123" s="5">
        <v>0.40347222222222223</v>
      </c>
      <c r="G123" s="6">
        <v>2.95</v>
      </c>
      <c r="H123" s="3">
        <v>15311</v>
      </c>
      <c r="I123" s="3" t="s">
        <v>5</v>
      </c>
      <c r="J123" s="3" t="str">
        <f t="shared" si="3"/>
        <v>Sale</v>
      </c>
      <c r="K123" s="6">
        <f t="shared" si="4"/>
        <v>2.95</v>
      </c>
      <c r="L123" s="6">
        <f t="shared" si="5"/>
        <v>2.95</v>
      </c>
    </row>
    <row r="124" spans="1:12" x14ac:dyDescent="0.35">
      <c r="A124" s="3">
        <v>536381</v>
      </c>
      <c r="B124" s="3">
        <v>22086</v>
      </c>
      <c r="C124" s="3" t="s">
        <v>114</v>
      </c>
      <c r="D124" s="9">
        <v>4</v>
      </c>
      <c r="E124" s="4">
        <v>40313</v>
      </c>
      <c r="F124" s="5">
        <v>0.40347222222222223</v>
      </c>
      <c r="G124" s="6">
        <v>2.95</v>
      </c>
      <c r="H124" s="3">
        <v>15311</v>
      </c>
      <c r="I124" s="3" t="s">
        <v>5</v>
      </c>
      <c r="J124" s="3" t="str">
        <f t="shared" si="3"/>
        <v>Sale</v>
      </c>
      <c r="K124" s="6">
        <f t="shared" si="4"/>
        <v>11.8</v>
      </c>
      <c r="L124" s="6">
        <f t="shared" si="5"/>
        <v>11.8</v>
      </c>
    </row>
    <row r="125" spans="1:12" x14ac:dyDescent="0.35">
      <c r="A125" s="3">
        <v>536381</v>
      </c>
      <c r="B125" s="3">
        <v>22083</v>
      </c>
      <c r="C125" s="3" t="s">
        <v>163</v>
      </c>
      <c r="D125" s="9">
        <v>1</v>
      </c>
      <c r="E125" s="4">
        <v>40314</v>
      </c>
      <c r="F125" s="5">
        <v>0.40347222222222223</v>
      </c>
      <c r="G125" s="6">
        <v>2.95</v>
      </c>
      <c r="H125" s="3">
        <v>15311</v>
      </c>
      <c r="I125" s="3" t="s">
        <v>5</v>
      </c>
      <c r="J125" s="3" t="str">
        <f t="shared" si="3"/>
        <v>Sale</v>
      </c>
      <c r="K125" s="6">
        <f t="shared" si="4"/>
        <v>2.95</v>
      </c>
      <c r="L125" s="6">
        <f t="shared" si="5"/>
        <v>2.95</v>
      </c>
    </row>
    <row r="126" spans="1:12" x14ac:dyDescent="0.35">
      <c r="A126" s="3">
        <v>536381</v>
      </c>
      <c r="B126" s="3" t="s">
        <v>20</v>
      </c>
      <c r="C126" s="3" t="s">
        <v>164</v>
      </c>
      <c r="D126" s="9">
        <v>6</v>
      </c>
      <c r="E126" s="4">
        <v>40315</v>
      </c>
      <c r="F126" s="5">
        <v>0.40347222222222223</v>
      </c>
      <c r="G126" s="6">
        <v>0.85</v>
      </c>
      <c r="H126" s="3">
        <v>15311</v>
      </c>
      <c r="I126" s="3" t="s">
        <v>5</v>
      </c>
      <c r="J126" s="3" t="str">
        <f t="shared" si="3"/>
        <v>Sale</v>
      </c>
      <c r="K126" s="6">
        <f t="shared" si="4"/>
        <v>5.0999999999999996</v>
      </c>
      <c r="L126" s="6">
        <f t="shared" si="5"/>
        <v>5.0999999999999996</v>
      </c>
    </row>
    <row r="127" spans="1:12" x14ac:dyDescent="0.35">
      <c r="A127" s="3">
        <v>536381</v>
      </c>
      <c r="B127" s="3">
        <v>71270</v>
      </c>
      <c r="C127" s="3" t="s">
        <v>154</v>
      </c>
      <c r="D127" s="9">
        <v>3</v>
      </c>
      <c r="E127" s="4">
        <v>40316</v>
      </c>
      <c r="F127" s="5">
        <v>0.40347222222222223</v>
      </c>
      <c r="G127" s="6">
        <v>1.25</v>
      </c>
      <c r="H127" s="3">
        <v>15311</v>
      </c>
      <c r="I127" s="3" t="s">
        <v>5</v>
      </c>
      <c r="J127" s="3" t="str">
        <f t="shared" si="3"/>
        <v>Sale</v>
      </c>
      <c r="K127" s="6">
        <f t="shared" si="4"/>
        <v>3.75</v>
      </c>
      <c r="L127" s="6">
        <f t="shared" si="5"/>
        <v>3.75</v>
      </c>
    </row>
    <row r="128" spans="1:12" x14ac:dyDescent="0.35">
      <c r="A128" s="3">
        <v>536381</v>
      </c>
      <c r="B128" s="3">
        <v>47580</v>
      </c>
      <c r="C128" s="3" t="s">
        <v>165</v>
      </c>
      <c r="D128" s="9">
        <v>2</v>
      </c>
      <c r="E128" s="4">
        <v>40317</v>
      </c>
      <c r="F128" s="5">
        <v>0.40347222222222223</v>
      </c>
      <c r="G128" s="6">
        <v>2.5499999999999998</v>
      </c>
      <c r="H128" s="3">
        <v>15311</v>
      </c>
      <c r="I128" s="3" t="s">
        <v>5</v>
      </c>
      <c r="J128" s="3" t="str">
        <f t="shared" si="3"/>
        <v>Sale</v>
      </c>
      <c r="K128" s="6">
        <f t="shared" si="4"/>
        <v>5.0999999999999996</v>
      </c>
      <c r="L128" s="6">
        <f t="shared" si="5"/>
        <v>5.0999999999999996</v>
      </c>
    </row>
    <row r="129" spans="1:12" x14ac:dyDescent="0.35">
      <c r="A129" s="3">
        <v>536381</v>
      </c>
      <c r="B129" s="3">
        <v>22261</v>
      </c>
      <c r="C129" s="3" t="s">
        <v>166</v>
      </c>
      <c r="D129" s="9">
        <v>1</v>
      </c>
      <c r="E129" s="4">
        <v>40321</v>
      </c>
      <c r="F129" s="5">
        <v>0.40347222222222223</v>
      </c>
      <c r="G129" s="6">
        <v>0.85</v>
      </c>
      <c r="H129" s="3">
        <v>15311</v>
      </c>
      <c r="I129" s="3" t="s">
        <v>5</v>
      </c>
      <c r="J129" s="3" t="str">
        <f t="shared" si="3"/>
        <v>Sale</v>
      </c>
      <c r="K129" s="6">
        <f t="shared" si="4"/>
        <v>0.85</v>
      </c>
      <c r="L129" s="6">
        <f t="shared" si="5"/>
        <v>0.85</v>
      </c>
    </row>
    <row r="130" spans="1:12" x14ac:dyDescent="0.35">
      <c r="A130" s="3">
        <v>536381</v>
      </c>
      <c r="B130" s="3">
        <v>84832</v>
      </c>
      <c r="C130" s="3" t="s">
        <v>167</v>
      </c>
      <c r="D130" s="9">
        <v>1</v>
      </c>
      <c r="E130" s="4">
        <v>40322</v>
      </c>
      <c r="F130" s="5">
        <v>0.40347222222222223</v>
      </c>
      <c r="G130" s="6">
        <v>0.85</v>
      </c>
      <c r="H130" s="3">
        <v>15311</v>
      </c>
      <c r="I130" s="3" t="s">
        <v>5</v>
      </c>
      <c r="J130" s="3" t="str">
        <f t="shared" ref="J130:J193" si="6">IF(D130&lt;1,"Return","Sale")</f>
        <v>Sale</v>
      </c>
      <c r="K130" s="6">
        <f t="shared" ref="K130:K193" si="7">D130*G130</f>
        <v>0.85</v>
      </c>
      <c r="L130" s="6">
        <f t="shared" si="5"/>
        <v>0.85</v>
      </c>
    </row>
    <row r="131" spans="1:12" x14ac:dyDescent="0.35">
      <c r="A131" s="3">
        <v>536381</v>
      </c>
      <c r="B131" s="3">
        <v>22644</v>
      </c>
      <c r="C131" s="3" t="s">
        <v>168</v>
      </c>
      <c r="D131" s="9">
        <v>1</v>
      </c>
      <c r="E131" s="4">
        <v>40323</v>
      </c>
      <c r="F131" s="5">
        <v>0.40347222222222223</v>
      </c>
      <c r="G131" s="6">
        <v>1.45</v>
      </c>
      <c r="H131" s="3">
        <v>15311</v>
      </c>
      <c r="I131" s="3" t="s">
        <v>5</v>
      </c>
      <c r="J131" s="3" t="str">
        <f t="shared" si="6"/>
        <v>Sale</v>
      </c>
      <c r="K131" s="6">
        <f t="shared" si="7"/>
        <v>1.45</v>
      </c>
      <c r="L131" s="6">
        <f t="shared" ref="L131:L194" si="8" xml:space="preserve"> ABS(K131)</f>
        <v>1.45</v>
      </c>
    </row>
    <row r="132" spans="1:12" x14ac:dyDescent="0.35">
      <c r="A132" s="3">
        <v>536381</v>
      </c>
      <c r="B132" s="3">
        <v>21533</v>
      </c>
      <c r="C132" s="3" t="s">
        <v>169</v>
      </c>
      <c r="D132" s="9">
        <v>1</v>
      </c>
      <c r="E132" s="4">
        <v>40324</v>
      </c>
      <c r="F132" s="5">
        <v>0.40347222222222223</v>
      </c>
      <c r="G132" s="6">
        <v>4.95</v>
      </c>
      <c r="H132" s="3">
        <v>15311</v>
      </c>
      <c r="I132" s="3" t="s">
        <v>5</v>
      </c>
      <c r="J132" s="3" t="str">
        <f t="shared" si="6"/>
        <v>Sale</v>
      </c>
      <c r="K132" s="6">
        <f t="shared" si="7"/>
        <v>4.95</v>
      </c>
      <c r="L132" s="6">
        <f t="shared" si="8"/>
        <v>4.95</v>
      </c>
    </row>
    <row r="133" spans="1:12" x14ac:dyDescent="0.35">
      <c r="A133" s="3">
        <v>536381</v>
      </c>
      <c r="B133" s="3">
        <v>21557</v>
      </c>
      <c r="C133" s="3" t="s">
        <v>170</v>
      </c>
      <c r="D133" s="9">
        <v>2</v>
      </c>
      <c r="E133" s="4">
        <v>40325</v>
      </c>
      <c r="F133" s="5">
        <v>0.40347222222222223</v>
      </c>
      <c r="G133" s="6">
        <v>2.95</v>
      </c>
      <c r="H133" s="3">
        <v>15311</v>
      </c>
      <c r="I133" s="3" t="s">
        <v>5</v>
      </c>
      <c r="J133" s="3" t="str">
        <f t="shared" si="6"/>
        <v>Sale</v>
      </c>
      <c r="K133" s="6">
        <f t="shared" si="7"/>
        <v>5.9</v>
      </c>
      <c r="L133" s="6">
        <f t="shared" si="8"/>
        <v>5.9</v>
      </c>
    </row>
    <row r="134" spans="1:12" x14ac:dyDescent="0.35">
      <c r="A134" s="3">
        <v>536381</v>
      </c>
      <c r="B134" s="3" t="s">
        <v>21</v>
      </c>
      <c r="C134" s="3" t="s">
        <v>171</v>
      </c>
      <c r="D134" s="9">
        <v>2</v>
      </c>
      <c r="E134" s="4">
        <v>40326</v>
      </c>
      <c r="F134" s="5">
        <v>0.40347222222222223</v>
      </c>
      <c r="G134" s="6">
        <v>5.95</v>
      </c>
      <c r="H134" s="3">
        <v>15311</v>
      </c>
      <c r="I134" s="3" t="s">
        <v>5</v>
      </c>
      <c r="J134" s="3" t="str">
        <f t="shared" si="6"/>
        <v>Sale</v>
      </c>
      <c r="K134" s="6">
        <f t="shared" si="7"/>
        <v>11.9</v>
      </c>
      <c r="L134" s="6">
        <f t="shared" si="8"/>
        <v>11.9</v>
      </c>
    </row>
    <row r="135" spans="1:12" x14ac:dyDescent="0.35">
      <c r="A135" s="3">
        <v>536381</v>
      </c>
      <c r="B135" s="3" t="s">
        <v>22</v>
      </c>
      <c r="C135" s="3" t="s">
        <v>172</v>
      </c>
      <c r="D135" s="9">
        <v>2</v>
      </c>
      <c r="E135" s="4">
        <v>40327</v>
      </c>
      <c r="F135" s="5">
        <v>0.40347222222222223</v>
      </c>
      <c r="G135" s="6">
        <v>5.95</v>
      </c>
      <c r="H135" s="3">
        <v>15311</v>
      </c>
      <c r="I135" s="3" t="s">
        <v>5</v>
      </c>
      <c r="J135" s="3" t="str">
        <f t="shared" si="6"/>
        <v>Sale</v>
      </c>
      <c r="K135" s="6">
        <f t="shared" si="7"/>
        <v>11.9</v>
      </c>
      <c r="L135" s="6">
        <f t="shared" si="8"/>
        <v>11.9</v>
      </c>
    </row>
    <row r="136" spans="1:12" x14ac:dyDescent="0.35">
      <c r="A136" s="3">
        <v>536381</v>
      </c>
      <c r="B136" s="3">
        <v>22646</v>
      </c>
      <c r="C136" s="3" t="s">
        <v>173</v>
      </c>
      <c r="D136" s="9">
        <v>4</v>
      </c>
      <c r="E136" s="4">
        <v>40328</v>
      </c>
      <c r="F136" s="5">
        <v>0.40347222222222223</v>
      </c>
      <c r="G136" s="6">
        <v>1.45</v>
      </c>
      <c r="H136" s="3">
        <v>15311</v>
      </c>
      <c r="I136" s="3" t="s">
        <v>5</v>
      </c>
      <c r="J136" s="3" t="str">
        <f t="shared" si="6"/>
        <v>Sale</v>
      </c>
      <c r="K136" s="6">
        <f t="shared" si="7"/>
        <v>5.8</v>
      </c>
      <c r="L136" s="6">
        <f t="shared" si="8"/>
        <v>5.8</v>
      </c>
    </row>
    <row r="137" spans="1:12" x14ac:dyDescent="0.35">
      <c r="A137" s="3">
        <v>536381</v>
      </c>
      <c r="B137" s="3">
        <v>22176</v>
      </c>
      <c r="C137" s="3" t="s">
        <v>174</v>
      </c>
      <c r="D137" s="9">
        <v>1</v>
      </c>
      <c r="E137" s="4">
        <v>40329</v>
      </c>
      <c r="F137" s="5">
        <v>0.40347222222222223</v>
      </c>
      <c r="G137" s="6">
        <v>2.95</v>
      </c>
      <c r="H137" s="3">
        <v>15311</v>
      </c>
      <c r="I137" s="3" t="s">
        <v>5</v>
      </c>
      <c r="J137" s="3" t="str">
        <f t="shared" si="6"/>
        <v>Sale</v>
      </c>
      <c r="K137" s="6">
        <f t="shared" si="7"/>
        <v>2.95</v>
      </c>
      <c r="L137" s="6">
        <f t="shared" si="8"/>
        <v>2.95</v>
      </c>
    </row>
    <row r="138" spans="1:12" x14ac:dyDescent="0.35">
      <c r="A138" s="3">
        <v>536381</v>
      </c>
      <c r="B138" s="3">
        <v>22438</v>
      </c>
      <c r="C138" s="3" t="s">
        <v>175</v>
      </c>
      <c r="D138" s="9">
        <v>1</v>
      </c>
      <c r="E138" s="4">
        <v>40330</v>
      </c>
      <c r="F138" s="5">
        <v>0.40347222222222223</v>
      </c>
      <c r="G138" s="6">
        <v>1.95</v>
      </c>
      <c r="H138" s="3">
        <v>15311</v>
      </c>
      <c r="I138" s="3" t="s">
        <v>5</v>
      </c>
      <c r="J138" s="3" t="str">
        <f t="shared" si="6"/>
        <v>Sale</v>
      </c>
      <c r="K138" s="6">
        <f t="shared" si="7"/>
        <v>1.95</v>
      </c>
      <c r="L138" s="6">
        <f t="shared" si="8"/>
        <v>1.95</v>
      </c>
    </row>
    <row r="139" spans="1:12" x14ac:dyDescent="0.35">
      <c r="A139" s="3">
        <v>536381</v>
      </c>
      <c r="B139" s="3">
        <v>21731</v>
      </c>
      <c r="C139" s="3" t="s">
        <v>107</v>
      </c>
      <c r="D139" s="9">
        <v>2</v>
      </c>
      <c r="E139" s="4">
        <v>40331</v>
      </c>
      <c r="F139" s="5">
        <v>0.40347222222222223</v>
      </c>
      <c r="G139" s="6">
        <v>1.65</v>
      </c>
      <c r="H139" s="3">
        <v>15311</v>
      </c>
      <c r="I139" s="3" t="s">
        <v>5</v>
      </c>
      <c r="J139" s="3" t="str">
        <f t="shared" si="6"/>
        <v>Sale</v>
      </c>
      <c r="K139" s="6">
        <f t="shared" si="7"/>
        <v>3.3</v>
      </c>
      <c r="L139" s="6">
        <f t="shared" si="8"/>
        <v>3.3</v>
      </c>
    </row>
    <row r="140" spans="1:12" x14ac:dyDescent="0.35">
      <c r="A140" s="3">
        <v>536381</v>
      </c>
      <c r="B140" s="3">
        <v>22778</v>
      </c>
      <c r="C140" s="3" t="s">
        <v>176</v>
      </c>
      <c r="D140" s="9">
        <v>3</v>
      </c>
      <c r="E140" s="4">
        <v>40332</v>
      </c>
      <c r="F140" s="5">
        <v>0.40347222222222223</v>
      </c>
      <c r="G140" s="6">
        <v>3.95</v>
      </c>
      <c r="H140" s="3">
        <v>15311</v>
      </c>
      <c r="I140" s="3" t="s">
        <v>5</v>
      </c>
      <c r="J140" s="3" t="str">
        <f t="shared" si="6"/>
        <v>Sale</v>
      </c>
      <c r="K140" s="6">
        <f t="shared" si="7"/>
        <v>11.850000000000001</v>
      </c>
      <c r="L140" s="6">
        <f t="shared" si="8"/>
        <v>11.850000000000001</v>
      </c>
    </row>
    <row r="141" spans="1:12" x14ac:dyDescent="0.35">
      <c r="A141" s="3">
        <v>536381</v>
      </c>
      <c r="B141" s="3">
        <v>22719</v>
      </c>
      <c r="C141" s="3" t="s">
        <v>177</v>
      </c>
      <c r="D141" s="9">
        <v>36</v>
      </c>
      <c r="E141" s="4">
        <v>40333</v>
      </c>
      <c r="F141" s="5">
        <v>0.40347222222222223</v>
      </c>
      <c r="G141" s="6">
        <v>1.06</v>
      </c>
      <c r="H141" s="3">
        <v>15311</v>
      </c>
      <c r="I141" s="3" t="s">
        <v>5</v>
      </c>
      <c r="J141" s="3" t="str">
        <f t="shared" si="6"/>
        <v>Sale</v>
      </c>
      <c r="K141" s="6">
        <f t="shared" si="7"/>
        <v>38.160000000000004</v>
      </c>
      <c r="L141" s="6">
        <f t="shared" si="8"/>
        <v>38.160000000000004</v>
      </c>
    </row>
    <row r="142" spans="1:12" x14ac:dyDescent="0.35">
      <c r="A142" s="3">
        <v>536381</v>
      </c>
      <c r="B142" s="3">
        <v>21523</v>
      </c>
      <c r="C142" s="3" t="s">
        <v>178</v>
      </c>
      <c r="D142" s="9">
        <v>10</v>
      </c>
      <c r="E142" s="4">
        <v>40334</v>
      </c>
      <c r="F142" s="5">
        <v>0.40347222222222223</v>
      </c>
      <c r="G142" s="6">
        <v>6.75</v>
      </c>
      <c r="H142" s="3">
        <v>15311</v>
      </c>
      <c r="I142" s="3" t="s">
        <v>5</v>
      </c>
      <c r="J142" s="3" t="str">
        <f t="shared" si="6"/>
        <v>Sale</v>
      </c>
      <c r="K142" s="6">
        <f t="shared" si="7"/>
        <v>67.5</v>
      </c>
      <c r="L142" s="6">
        <f t="shared" si="8"/>
        <v>67.5</v>
      </c>
    </row>
    <row r="143" spans="1:12" x14ac:dyDescent="0.35">
      <c r="A143" s="3" t="s">
        <v>23</v>
      </c>
      <c r="B143" s="3" t="s">
        <v>24</v>
      </c>
      <c r="C143" s="3" t="s">
        <v>25</v>
      </c>
      <c r="D143" s="9">
        <v>-1</v>
      </c>
      <c r="E143" s="4">
        <v>40335</v>
      </c>
      <c r="F143" s="5">
        <v>0.40347222222222223</v>
      </c>
      <c r="G143" s="6">
        <v>27.5</v>
      </c>
      <c r="H143" s="3">
        <v>14527</v>
      </c>
      <c r="I143" s="3" t="s">
        <v>5</v>
      </c>
      <c r="J143" s="3" t="str">
        <f t="shared" si="6"/>
        <v>Return</v>
      </c>
      <c r="K143" s="6">
        <f t="shared" si="7"/>
        <v>-27.5</v>
      </c>
      <c r="L143" s="6">
        <f t="shared" si="8"/>
        <v>27.5</v>
      </c>
    </row>
    <row r="144" spans="1:12" x14ac:dyDescent="0.35">
      <c r="A144" s="3">
        <v>536382</v>
      </c>
      <c r="B144" s="3">
        <v>10002</v>
      </c>
      <c r="C144" s="3" t="s">
        <v>99</v>
      </c>
      <c r="D144" s="9">
        <v>12</v>
      </c>
      <c r="E144" s="4">
        <v>40336</v>
      </c>
      <c r="F144" s="5">
        <v>0.40625</v>
      </c>
      <c r="G144" s="6">
        <v>0.85</v>
      </c>
      <c r="H144" s="3">
        <v>16098</v>
      </c>
      <c r="I144" s="3" t="s">
        <v>5</v>
      </c>
      <c r="J144" s="3" t="str">
        <f t="shared" si="6"/>
        <v>Sale</v>
      </c>
      <c r="K144" s="6">
        <f t="shared" si="7"/>
        <v>10.199999999999999</v>
      </c>
      <c r="L144" s="6">
        <f t="shared" si="8"/>
        <v>10.199999999999999</v>
      </c>
    </row>
    <row r="145" spans="1:12" x14ac:dyDescent="0.35">
      <c r="A145" s="3">
        <v>536382</v>
      </c>
      <c r="B145" s="3">
        <v>21912</v>
      </c>
      <c r="C145" s="3" t="s">
        <v>179</v>
      </c>
      <c r="D145" s="9">
        <v>8</v>
      </c>
      <c r="E145" s="4">
        <v>40337</v>
      </c>
      <c r="F145" s="5">
        <v>0.40625</v>
      </c>
      <c r="G145" s="6">
        <v>3.75</v>
      </c>
      <c r="H145" s="3">
        <v>16098</v>
      </c>
      <c r="I145" s="3" t="s">
        <v>5</v>
      </c>
      <c r="J145" s="3" t="str">
        <f t="shared" si="6"/>
        <v>Sale</v>
      </c>
      <c r="K145" s="6">
        <f t="shared" si="7"/>
        <v>30</v>
      </c>
      <c r="L145" s="6">
        <f t="shared" si="8"/>
        <v>30</v>
      </c>
    </row>
    <row r="146" spans="1:12" x14ac:dyDescent="0.35">
      <c r="A146" s="3">
        <v>536382</v>
      </c>
      <c r="B146" s="3">
        <v>21832</v>
      </c>
      <c r="C146" s="3" t="s">
        <v>180</v>
      </c>
      <c r="D146" s="9">
        <v>12</v>
      </c>
      <c r="E146" s="4">
        <v>40338</v>
      </c>
      <c r="F146" s="5">
        <v>0.40625</v>
      </c>
      <c r="G146" s="6">
        <v>1.65</v>
      </c>
      <c r="H146" s="3">
        <v>16098</v>
      </c>
      <c r="I146" s="3" t="s">
        <v>5</v>
      </c>
      <c r="J146" s="3" t="str">
        <f t="shared" si="6"/>
        <v>Sale</v>
      </c>
      <c r="K146" s="6">
        <f t="shared" si="7"/>
        <v>19.799999999999997</v>
      </c>
      <c r="L146" s="6">
        <f t="shared" si="8"/>
        <v>19.799999999999997</v>
      </c>
    </row>
    <row r="147" spans="1:12" x14ac:dyDescent="0.35">
      <c r="A147" s="3">
        <v>536382</v>
      </c>
      <c r="B147" s="3">
        <v>22411</v>
      </c>
      <c r="C147" s="3" t="s">
        <v>149</v>
      </c>
      <c r="D147" s="9">
        <v>10</v>
      </c>
      <c r="E147" s="4">
        <v>40339</v>
      </c>
      <c r="F147" s="5">
        <v>0.40625</v>
      </c>
      <c r="G147" s="6">
        <v>1.95</v>
      </c>
      <c r="H147" s="3">
        <v>16098</v>
      </c>
      <c r="I147" s="3" t="s">
        <v>5</v>
      </c>
      <c r="J147" s="3" t="str">
        <f t="shared" si="6"/>
        <v>Sale</v>
      </c>
      <c r="K147" s="6">
        <f t="shared" si="7"/>
        <v>19.5</v>
      </c>
      <c r="L147" s="6">
        <f t="shared" si="8"/>
        <v>19.5</v>
      </c>
    </row>
    <row r="148" spans="1:12" x14ac:dyDescent="0.35">
      <c r="A148" s="3">
        <v>536382</v>
      </c>
      <c r="B148" s="3">
        <v>22379</v>
      </c>
      <c r="C148" s="3" t="s">
        <v>181</v>
      </c>
      <c r="D148" s="9">
        <v>10</v>
      </c>
      <c r="E148" s="4">
        <v>40340</v>
      </c>
      <c r="F148" s="5">
        <v>0.40625</v>
      </c>
      <c r="G148" s="6">
        <v>2.1</v>
      </c>
      <c r="H148" s="3">
        <v>16098</v>
      </c>
      <c r="I148" s="3" t="s">
        <v>5</v>
      </c>
      <c r="J148" s="3" t="str">
        <f t="shared" si="6"/>
        <v>Sale</v>
      </c>
      <c r="K148" s="6">
        <f t="shared" si="7"/>
        <v>21</v>
      </c>
      <c r="L148" s="6">
        <f t="shared" si="8"/>
        <v>21</v>
      </c>
    </row>
    <row r="149" spans="1:12" x14ac:dyDescent="0.35">
      <c r="A149" s="3">
        <v>536382</v>
      </c>
      <c r="B149" s="3">
        <v>22381</v>
      </c>
      <c r="C149" s="3" t="s">
        <v>182</v>
      </c>
      <c r="D149" s="9">
        <v>50</v>
      </c>
      <c r="E149" s="4">
        <v>40341</v>
      </c>
      <c r="F149" s="5">
        <v>0.40625</v>
      </c>
      <c r="G149" s="6">
        <v>1.85</v>
      </c>
      <c r="H149" s="3">
        <v>16098</v>
      </c>
      <c r="I149" s="3" t="s">
        <v>5</v>
      </c>
      <c r="J149" s="3" t="str">
        <f t="shared" si="6"/>
        <v>Sale</v>
      </c>
      <c r="K149" s="6">
        <f t="shared" si="7"/>
        <v>92.5</v>
      </c>
      <c r="L149" s="6">
        <f t="shared" si="8"/>
        <v>92.5</v>
      </c>
    </row>
    <row r="150" spans="1:12" x14ac:dyDescent="0.35">
      <c r="A150" s="3">
        <v>536382</v>
      </c>
      <c r="B150" s="3">
        <v>22798</v>
      </c>
      <c r="C150" s="3" t="s">
        <v>183</v>
      </c>
      <c r="D150" s="9">
        <v>8</v>
      </c>
      <c r="E150" s="4">
        <v>40342</v>
      </c>
      <c r="F150" s="5">
        <v>0.40625</v>
      </c>
      <c r="G150" s="6">
        <v>2.95</v>
      </c>
      <c r="H150" s="3">
        <v>16098</v>
      </c>
      <c r="I150" s="3" t="s">
        <v>5</v>
      </c>
      <c r="J150" s="3" t="str">
        <f t="shared" si="6"/>
        <v>Sale</v>
      </c>
      <c r="K150" s="6">
        <f t="shared" si="7"/>
        <v>23.6</v>
      </c>
      <c r="L150" s="6">
        <f t="shared" si="8"/>
        <v>23.6</v>
      </c>
    </row>
    <row r="151" spans="1:12" x14ac:dyDescent="0.35">
      <c r="A151" s="3">
        <v>536382</v>
      </c>
      <c r="B151" s="3">
        <v>22726</v>
      </c>
      <c r="C151" s="3" t="s">
        <v>96</v>
      </c>
      <c r="D151" s="9">
        <v>4</v>
      </c>
      <c r="E151" s="4">
        <v>40343</v>
      </c>
      <c r="F151" s="5">
        <v>0.40625</v>
      </c>
      <c r="G151" s="6">
        <v>3.75</v>
      </c>
      <c r="H151" s="3">
        <v>16098</v>
      </c>
      <c r="I151" s="3" t="s">
        <v>5</v>
      </c>
      <c r="J151" s="3" t="str">
        <f t="shared" si="6"/>
        <v>Sale</v>
      </c>
      <c r="K151" s="6">
        <f t="shared" si="7"/>
        <v>15</v>
      </c>
      <c r="L151" s="6">
        <f t="shared" si="8"/>
        <v>15</v>
      </c>
    </row>
    <row r="152" spans="1:12" x14ac:dyDescent="0.35">
      <c r="A152" s="3">
        <v>536382</v>
      </c>
      <c r="B152" s="3">
        <v>22926</v>
      </c>
      <c r="C152" s="3" t="s">
        <v>184</v>
      </c>
      <c r="D152" s="9">
        <v>12</v>
      </c>
      <c r="E152" s="4">
        <v>40344</v>
      </c>
      <c r="F152" s="5">
        <v>0.40625</v>
      </c>
      <c r="G152" s="6">
        <v>5.95</v>
      </c>
      <c r="H152" s="3">
        <v>16098</v>
      </c>
      <c r="I152" s="3" t="s">
        <v>5</v>
      </c>
      <c r="J152" s="3" t="str">
        <f t="shared" si="6"/>
        <v>Sale</v>
      </c>
      <c r="K152" s="6">
        <f t="shared" si="7"/>
        <v>71.400000000000006</v>
      </c>
      <c r="L152" s="6">
        <f t="shared" si="8"/>
        <v>71.400000000000006</v>
      </c>
    </row>
    <row r="153" spans="1:12" x14ac:dyDescent="0.35">
      <c r="A153" s="3">
        <v>536382</v>
      </c>
      <c r="B153" s="3">
        <v>22839</v>
      </c>
      <c r="C153" s="3" t="s">
        <v>185</v>
      </c>
      <c r="D153" s="9">
        <v>2</v>
      </c>
      <c r="E153" s="4">
        <v>40345</v>
      </c>
      <c r="F153" s="5">
        <v>0.40625</v>
      </c>
      <c r="G153" s="6">
        <v>14.95</v>
      </c>
      <c r="H153" s="3">
        <v>16098</v>
      </c>
      <c r="I153" s="3" t="s">
        <v>5</v>
      </c>
      <c r="J153" s="3" t="str">
        <f t="shared" si="6"/>
        <v>Sale</v>
      </c>
      <c r="K153" s="6">
        <f t="shared" si="7"/>
        <v>29.9</v>
      </c>
      <c r="L153" s="6">
        <f t="shared" si="8"/>
        <v>29.9</v>
      </c>
    </row>
    <row r="154" spans="1:12" x14ac:dyDescent="0.35">
      <c r="A154" s="3">
        <v>536382</v>
      </c>
      <c r="B154" s="3">
        <v>22838</v>
      </c>
      <c r="C154" s="3" t="s">
        <v>186</v>
      </c>
      <c r="D154" s="9">
        <v>2</v>
      </c>
      <c r="E154" s="4">
        <v>40346</v>
      </c>
      <c r="F154" s="5">
        <v>0.40625</v>
      </c>
      <c r="G154" s="6">
        <v>14.95</v>
      </c>
      <c r="H154" s="3">
        <v>16098</v>
      </c>
      <c r="I154" s="3" t="s">
        <v>5</v>
      </c>
      <c r="J154" s="3" t="str">
        <f t="shared" si="6"/>
        <v>Sale</v>
      </c>
      <c r="K154" s="6">
        <f t="shared" si="7"/>
        <v>29.9</v>
      </c>
      <c r="L154" s="6">
        <f t="shared" si="8"/>
        <v>29.9</v>
      </c>
    </row>
    <row r="155" spans="1:12" x14ac:dyDescent="0.35">
      <c r="A155" s="3">
        <v>536382</v>
      </c>
      <c r="B155" s="3">
        <v>22783</v>
      </c>
      <c r="C155" s="3" t="s">
        <v>187</v>
      </c>
      <c r="D155" s="9">
        <v>4</v>
      </c>
      <c r="E155" s="4">
        <v>40347</v>
      </c>
      <c r="F155" s="5">
        <v>0.40625</v>
      </c>
      <c r="G155" s="6">
        <v>16.95</v>
      </c>
      <c r="H155" s="3">
        <v>16098</v>
      </c>
      <c r="I155" s="3" t="s">
        <v>5</v>
      </c>
      <c r="J155" s="3" t="str">
        <f t="shared" si="6"/>
        <v>Sale</v>
      </c>
      <c r="K155" s="6">
        <f t="shared" si="7"/>
        <v>67.8</v>
      </c>
      <c r="L155" s="6">
        <f t="shared" si="8"/>
        <v>67.8</v>
      </c>
    </row>
    <row r="156" spans="1:12" x14ac:dyDescent="0.35">
      <c r="A156" s="3" t="s">
        <v>26</v>
      </c>
      <c r="B156" s="3" t="s">
        <v>27</v>
      </c>
      <c r="C156" s="3" t="s">
        <v>188</v>
      </c>
      <c r="D156" s="9">
        <v>-1</v>
      </c>
      <c r="E156" s="4">
        <v>40348</v>
      </c>
      <c r="F156" s="5">
        <v>0.40902777777777777</v>
      </c>
      <c r="G156" s="6">
        <v>4.6500000000000004</v>
      </c>
      <c r="H156" s="3">
        <v>15311</v>
      </c>
      <c r="I156" s="3" t="s">
        <v>5</v>
      </c>
      <c r="J156" s="3" t="str">
        <f t="shared" si="6"/>
        <v>Return</v>
      </c>
      <c r="K156" s="6">
        <f t="shared" si="7"/>
        <v>-4.6500000000000004</v>
      </c>
      <c r="L156" s="6">
        <f t="shared" si="8"/>
        <v>4.6500000000000004</v>
      </c>
    </row>
    <row r="157" spans="1:12" x14ac:dyDescent="0.35">
      <c r="A157" s="3">
        <v>536384</v>
      </c>
      <c r="B157" s="3">
        <v>82484</v>
      </c>
      <c r="C157" s="3" t="s">
        <v>189</v>
      </c>
      <c r="D157" s="9">
        <v>3</v>
      </c>
      <c r="E157" s="4">
        <v>40349</v>
      </c>
      <c r="F157" s="5">
        <v>0.41180555555555554</v>
      </c>
      <c r="G157" s="6">
        <v>6.45</v>
      </c>
      <c r="H157" s="3">
        <v>18074</v>
      </c>
      <c r="I157" s="3" t="s">
        <v>5</v>
      </c>
      <c r="J157" s="3" t="str">
        <f t="shared" si="6"/>
        <v>Sale</v>
      </c>
      <c r="K157" s="6">
        <f t="shared" si="7"/>
        <v>19.350000000000001</v>
      </c>
      <c r="L157" s="6">
        <f t="shared" si="8"/>
        <v>19.350000000000001</v>
      </c>
    </row>
    <row r="158" spans="1:12" x14ac:dyDescent="0.35">
      <c r="A158" s="3">
        <v>536384</v>
      </c>
      <c r="B158" s="3">
        <v>84755</v>
      </c>
      <c r="C158" s="3" t="s">
        <v>190</v>
      </c>
      <c r="D158" s="9">
        <v>48</v>
      </c>
      <c r="E158" s="4">
        <v>40350</v>
      </c>
      <c r="F158" s="5">
        <v>0.41180555555555554</v>
      </c>
      <c r="G158" s="6">
        <v>0.65</v>
      </c>
      <c r="H158" s="3">
        <v>18074</v>
      </c>
      <c r="I158" s="3" t="s">
        <v>5</v>
      </c>
      <c r="J158" s="3" t="str">
        <f t="shared" si="6"/>
        <v>Sale</v>
      </c>
      <c r="K158" s="6">
        <f t="shared" si="7"/>
        <v>31.200000000000003</v>
      </c>
      <c r="L158" s="6">
        <f t="shared" si="8"/>
        <v>31.200000000000003</v>
      </c>
    </row>
    <row r="159" spans="1:12" x14ac:dyDescent="0.35">
      <c r="A159" s="3">
        <v>536384</v>
      </c>
      <c r="B159" s="3">
        <v>22464</v>
      </c>
      <c r="C159" s="3" t="s">
        <v>191</v>
      </c>
      <c r="D159" s="9">
        <v>12</v>
      </c>
      <c r="E159" s="4">
        <v>40351</v>
      </c>
      <c r="F159" s="5">
        <v>0.41180555555555554</v>
      </c>
      <c r="G159" s="6">
        <v>1.65</v>
      </c>
      <c r="H159" s="3">
        <v>18074</v>
      </c>
      <c r="I159" s="3" t="s">
        <v>5</v>
      </c>
      <c r="J159" s="3" t="str">
        <f t="shared" si="6"/>
        <v>Sale</v>
      </c>
      <c r="K159" s="6">
        <f t="shared" si="7"/>
        <v>19.799999999999997</v>
      </c>
      <c r="L159" s="6">
        <f t="shared" si="8"/>
        <v>19.799999999999997</v>
      </c>
    </row>
    <row r="160" spans="1:12" x14ac:dyDescent="0.35">
      <c r="A160" s="3">
        <v>536384</v>
      </c>
      <c r="B160" s="3">
        <v>21324</v>
      </c>
      <c r="C160" s="3" t="s">
        <v>192</v>
      </c>
      <c r="D160" s="9">
        <v>6</v>
      </c>
      <c r="E160" s="4">
        <v>40352</v>
      </c>
      <c r="F160" s="5">
        <v>0.41180555555555554</v>
      </c>
      <c r="G160" s="6">
        <v>2.95</v>
      </c>
      <c r="H160" s="3">
        <v>18074</v>
      </c>
      <c r="I160" s="3" t="s">
        <v>5</v>
      </c>
      <c r="J160" s="3" t="str">
        <f t="shared" si="6"/>
        <v>Sale</v>
      </c>
      <c r="K160" s="6">
        <f t="shared" si="7"/>
        <v>17.700000000000003</v>
      </c>
      <c r="L160" s="6">
        <f t="shared" si="8"/>
        <v>17.700000000000003</v>
      </c>
    </row>
    <row r="161" spans="1:12" x14ac:dyDescent="0.35">
      <c r="A161" s="3">
        <v>536384</v>
      </c>
      <c r="B161" s="3">
        <v>22457</v>
      </c>
      <c r="C161" s="3" t="s">
        <v>193</v>
      </c>
      <c r="D161" s="9">
        <v>12</v>
      </c>
      <c r="E161" s="4">
        <v>40353</v>
      </c>
      <c r="F161" s="5">
        <v>0.41180555555555554</v>
      </c>
      <c r="G161" s="6">
        <v>2.95</v>
      </c>
      <c r="H161" s="3">
        <v>18074</v>
      </c>
      <c r="I161" s="3" t="s">
        <v>5</v>
      </c>
      <c r="J161" s="3" t="str">
        <f t="shared" si="6"/>
        <v>Sale</v>
      </c>
      <c r="K161" s="6">
        <f t="shared" si="7"/>
        <v>35.400000000000006</v>
      </c>
      <c r="L161" s="6">
        <f t="shared" si="8"/>
        <v>35.400000000000006</v>
      </c>
    </row>
    <row r="162" spans="1:12" x14ac:dyDescent="0.35">
      <c r="A162" s="3">
        <v>536384</v>
      </c>
      <c r="B162" s="3">
        <v>22469</v>
      </c>
      <c r="C162" s="3" t="s">
        <v>194</v>
      </c>
      <c r="D162" s="9">
        <v>40</v>
      </c>
      <c r="E162" s="4">
        <v>40354</v>
      </c>
      <c r="F162" s="5">
        <v>0.41180555555555554</v>
      </c>
      <c r="G162" s="6">
        <v>1.45</v>
      </c>
      <c r="H162" s="3">
        <v>18074</v>
      </c>
      <c r="I162" s="3" t="s">
        <v>5</v>
      </c>
      <c r="J162" s="3" t="str">
        <f t="shared" si="6"/>
        <v>Sale</v>
      </c>
      <c r="K162" s="6">
        <f t="shared" si="7"/>
        <v>58</v>
      </c>
      <c r="L162" s="6">
        <f t="shared" si="8"/>
        <v>58</v>
      </c>
    </row>
    <row r="163" spans="1:12" x14ac:dyDescent="0.35">
      <c r="A163" s="3">
        <v>536384</v>
      </c>
      <c r="B163" s="3">
        <v>22470</v>
      </c>
      <c r="C163" s="3" t="s">
        <v>195</v>
      </c>
      <c r="D163" s="9">
        <v>40</v>
      </c>
      <c r="E163" s="4">
        <v>40355</v>
      </c>
      <c r="F163" s="5">
        <v>0.41180555555555554</v>
      </c>
      <c r="G163" s="6">
        <v>2.5499999999999998</v>
      </c>
      <c r="H163" s="3">
        <v>18074</v>
      </c>
      <c r="I163" s="3" t="s">
        <v>5</v>
      </c>
      <c r="J163" s="3" t="str">
        <f t="shared" si="6"/>
        <v>Sale</v>
      </c>
      <c r="K163" s="6">
        <f t="shared" si="7"/>
        <v>102</v>
      </c>
      <c r="L163" s="6">
        <f t="shared" si="8"/>
        <v>102</v>
      </c>
    </row>
    <row r="164" spans="1:12" x14ac:dyDescent="0.35">
      <c r="A164" s="3">
        <v>536384</v>
      </c>
      <c r="B164" s="3">
        <v>22224</v>
      </c>
      <c r="C164" s="3" t="s">
        <v>196</v>
      </c>
      <c r="D164" s="9">
        <v>6</v>
      </c>
      <c r="E164" s="4">
        <v>40356</v>
      </c>
      <c r="F164" s="5">
        <v>0.41180555555555554</v>
      </c>
      <c r="G164" s="6">
        <v>2.95</v>
      </c>
      <c r="H164" s="3">
        <v>18074</v>
      </c>
      <c r="I164" s="3" t="s">
        <v>5</v>
      </c>
      <c r="J164" s="3" t="str">
        <f t="shared" si="6"/>
        <v>Sale</v>
      </c>
      <c r="K164" s="6">
        <f t="shared" si="7"/>
        <v>17.700000000000003</v>
      </c>
      <c r="L164" s="6">
        <f t="shared" si="8"/>
        <v>17.700000000000003</v>
      </c>
    </row>
    <row r="165" spans="1:12" x14ac:dyDescent="0.35">
      <c r="A165" s="3">
        <v>536384</v>
      </c>
      <c r="B165" s="3">
        <v>21340</v>
      </c>
      <c r="C165" s="3" t="s">
        <v>197</v>
      </c>
      <c r="D165" s="9">
        <v>2</v>
      </c>
      <c r="E165" s="4">
        <v>40357</v>
      </c>
      <c r="F165" s="5">
        <v>0.41180555555555554</v>
      </c>
      <c r="G165" s="6">
        <v>12.75</v>
      </c>
      <c r="H165" s="3">
        <v>18074</v>
      </c>
      <c r="I165" s="3" t="s">
        <v>5</v>
      </c>
      <c r="J165" s="3" t="str">
        <f t="shared" si="6"/>
        <v>Sale</v>
      </c>
      <c r="K165" s="6">
        <f t="shared" si="7"/>
        <v>25.5</v>
      </c>
      <c r="L165" s="6">
        <f t="shared" si="8"/>
        <v>25.5</v>
      </c>
    </row>
    <row r="166" spans="1:12" x14ac:dyDescent="0.35">
      <c r="A166" s="3">
        <v>536384</v>
      </c>
      <c r="B166" s="3">
        <v>22189</v>
      </c>
      <c r="C166" s="3" t="s">
        <v>198</v>
      </c>
      <c r="D166" s="9">
        <v>4</v>
      </c>
      <c r="E166" s="4">
        <v>40358</v>
      </c>
      <c r="F166" s="5">
        <v>0.41180555555555554</v>
      </c>
      <c r="G166" s="6">
        <v>3.95</v>
      </c>
      <c r="H166" s="3">
        <v>18074</v>
      </c>
      <c r="I166" s="3" t="s">
        <v>5</v>
      </c>
      <c r="J166" s="3" t="str">
        <f t="shared" si="6"/>
        <v>Sale</v>
      </c>
      <c r="K166" s="6">
        <f t="shared" si="7"/>
        <v>15.8</v>
      </c>
      <c r="L166" s="6">
        <f t="shared" si="8"/>
        <v>15.8</v>
      </c>
    </row>
    <row r="167" spans="1:12" x14ac:dyDescent="0.35">
      <c r="A167" s="3">
        <v>536384</v>
      </c>
      <c r="B167" s="3">
        <v>22427</v>
      </c>
      <c r="C167" s="3" t="s">
        <v>199</v>
      </c>
      <c r="D167" s="9">
        <v>3</v>
      </c>
      <c r="E167" s="4">
        <v>40359</v>
      </c>
      <c r="F167" s="5">
        <v>0.41180555555555554</v>
      </c>
      <c r="G167" s="6">
        <v>5.95</v>
      </c>
      <c r="H167" s="3">
        <v>18074</v>
      </c>
      <c r="I167" s="3" t="s">
        <v>5</v>
      </c>
      <c r="J167" s="3" t="str">
        <f t="shared" si="6"/>
        <v>Sale</v>
      </c>
      <c r="K167" s="6">
        <f t="shared" si="7"/>
        <v>17.850000000000001</v>
      </c>
      <c r="L167" s="6">
        <f t="shared" si="8"/>
        <v>17.850000000000001</v>
      </c>
    </row>
    <row r="168" spans="1:12" x14ac:dyDescent="0.35">
      <c r="A168" s="3">
        <v>536384</v>
      </c>
      <c r="B168" s="3">
        <v>22428</v>
      </c>
      <c r="C168" s="3" t="s">
        <v>200</v>
      </c>
      <c r="D168" s="9">
        <v>6</v>
      </c>
      <c r="E168" s="4">
        <v>40360</v>
      </c>
      <c r="F168" s="5">
        <v>0.41180555555555554</v>
      </c>
      <c r="G168" s="6">
        <v>6.95</v>
      </c>
      <c r="H168" s="3">
        <v>18074</v>
      </c>
      <c r="I168" s="3" t="s">
        <v>5</v>
      </c>
      <c r="J168" s="3" t="str">
        <f t="shared" si="6"/>
        <v>Sale</v>
      </c>
      <c r="K168" s="6">
        <f t="shared" si="7"/>
        <v>41.7</v>
      </c>
      <c r="L168" s="6">
        <f t="shared" si="8"/>
        <v>41.7</v>
      </c>
    </row>
    <row r="169" spans="1:12" x14ac:dyDescent="0.35">
      <c r="A169" s="3">
        <v>536384</v>
      </c>
      <c r="B169" s="3">
        <v>22424</v>
      </c>
      <c r="C169" s="3" t="s">
        <v>201</v>
      </c>
      <c r="D169" s="9">
        <v>8</v>
      </c>
      <c r="E169" s="4">
        <v>40361</v>
      </c>
      <c r="F169" s="5">
        <v>0.41180555555555554</v>
      </c>
      <c r="G169" s="6">
        <v>10.95</v>
      </c>
      <c r="H169" s="3">
        <v>18074</v>
      </c>
      <c r="I169" s="3" t="s">
        <v>5</v>
      </c>
      <c r="J169" s="3" t="str">
        <f t="shared" si="6"/>
        <v>Sale</v>
      </c>
      <c r="K169" s="6">
        <f t="shared" si="7"/>
        <v>87.6</v>
      </c>
      <c r="L169" s="6">
        <f t="shared" si="8"/>
        <v>87.6</v>
      </c>
    </row>
    <row r="170" spans="1:12" x14ac:dyDescent="0.35">
      <c r="A170" s="3">
        <v>536385</v>
      </c>
      <c r="B170" s="3">
        <v>22783</v>
      </c>
      <c r="C170" s="3" t="s">
        <v>187</v>
      </c>
      <c r="D170" s="9">
        <v>1</v>
      </c>
      <c r="E170" s="4">
        <v>40362</v>
      </c>
      <c r="F170" s="5">
        <v>0.41388888888888886</v>
      </c>
      <c r="G170" s="6">
        <v>19.95</v>
      </c>
      <c r="H170" s="3">
        <v>17420</v>
      </c>
      <c r="I170" s="3" t="s">
        <v>5</v>
      </c>
      <c r="J170" s="3" t="str">
        <f t="shared" si="6"/>
        <v>Sale</v>
      </c>
      <c r="K170" s="6">
        <f t="shared" si="7"/>
        <v>19.95</v>
      </c>
      <c r="L170" s="6">
        <f t="shared" si="8"/>
        <v>19.95</v>
      </c>
    </row>
    <row r="171" spans="1:12" x14ac:dyDescent="0.35">
      <c r="A171" s="3">
        <v>536385</v>
      </c>
      <c r="B171" s="3">
        <v>22961</v>
      </c>
      <c r="C171" s="3" t="s">
        <v>146</v>
      </c>
      <c r="D171" s="9">
        <v>12</v>
      </c>
      <c r="E171" s="4">
        <v>40363</v>
      </c>
      <c r="F171" s="5">
        <v>0.41388888888888886</v>
      </c>
      <c r="G171" s="6">
        <v>1.45</v>
      </c>
      <c r="H171" s="3">
        <v>17420</v>
      </c>
      <c r="I171" s="3" t="s">
        <v>5</v>
      </c>
      <c r="J171" s="3" t="str">
        <f t="shared" si="6"/>
        <v>Sale</v>
      </c>
      <c r="K171" s="6">
        <f t="shared" si="7"/>
        <v>17.399999999999999</v>
      </c>
      <c r="L171" s="6">
        <f t="shared" si="8"/>
        <v>17.399999999999999</v>
      </c>
    </row>
    <row r="172" spans="1:12" x14ac:dyDescent="0.35">
      <c r="A172" s="3">
        <v>536385</v>
      </c>
      <c r="B172" s="3">
        <v>22960</v>
      </c>
      <c r="C172" s="3" t="s">
        <v>89</v>
      </c>
      <c r="D172" s="9">
        <v>6</v>
      </c>
      <c r="E172" s="4">
        <v>40364</v>
      </c>
      <c r="F172" s="5">
        <v>0.41388888888888886</v>
      </c>
      <c r="G172" s="6">
        <v>4.25</v>
      </c>
      <c r="H172" s="3">
        <v>17420</v>
      </c>
      <c r="I172" s="3" t="s">
        <v>5</v>
      </c>
      <c r="J172" s="3" t="str">
        <f t="shared" si="6"/>
        <v>Sale</v>
      </c>
      <c r="K172" s="6">
        <f t="shared" si="7"/>
        <v>25.5</v>
      </c>
      <c r="L172" s="6">
        <f t="shared" si="8"/>
        <v>25.5</v>
      </c>
    </row>
    <row r="173" spans="1:12" x14ac:dyDescent="0.35">
      <c r="A173" s="3">
        <v>536385</v>
      </c>
      <c r="B173" s="3">
        <v>22663</v>
      </c>
      <c r="C173" s="3" t="s">
        <v>202</v>
      </c>
      <c r="D173" s="9">
        <v>10</v>
      </c>
      <c r="E173" s="4">
        <v>40365</v>
      </c>
      <c r="F173" s="5">
        <v>0.41388888888888886</v>
      </c>
      <c r="G173" s="6">
        <v>1.95</v>
      </c>
      <c r="H173" s="3">
        <v>17420</v>
      </c>
      <c r="I173" s="3" t="s">
        <v>5</v>
      </c>
      <c r="J173" s="3" t="str">
        <f t="shared" si="6"/>
        <v>Sale</v>
      </c>
      <c r="K173" s="6">
        <f t="shared" si="7"/>
        <v>19.5</v>
      </c>
      <c r="L173" s="6">
        <f t="shared" si="8"/>
        <v>19.5</v>
      </c>
    </row>
    <row r="174" spans="1:12" x14ac:dyDescent="0.35">
      <c r="A174" s="3">
        <v>536385</v>
      </c>
      <c r="B174" s="3" t="s">
        <v>28</v>
      </c>
      <c r="C174" s="3" t="s">
        <v>203</v>
      </c>
      <c r="D174" s="9">
        <v>12</v>
      </c>
      <c r="E174" s="4">
        <v>40366</v>
      </c>
      <c r="F174" s="5">
        <v>0.41388888888888886</v>
      </c>
      <c r="G174" s="6">
        <v>1.25</v>
      </c>
      <c r="H174" s="3">
        <v>17420</v>
      </c>
      <c r="I174" s="3" t="s">
        <v>5</v>
      </c>
      <c r="J174" s="3" t="str">
        <f t="shared" si="6"/>
        <v>Sale</v>
      </c>
      <c r="K174" s="6">
        <f t="shared" si="7"/>
        <v>15</v>
      </c>
      <c r="L174" s="6">
        <f t="shared" si="8"/>
        <v>15</v>
      </c>
    </row>
    <row r="175" spans="1:12" x14ac:dyDescent="0.35">
      <c r="A175" s="3">
        <v>536385</v>
      </c>
      <c r="B175" s="3">
        <v>22168</v>
      </c>
      <c r="C175" s="3" t="s">
        <v>204</v>
      </c>
      <c r="D175" s="9">
        <v>2</v>
      </c>
      <c r="E175" s="4">
        <v>40367</v>
      </c>
      <c r="F175" s="5">
        <v>0.41388888888888886</v>
      </c>
      <c r="G175" s="6">
        <v>8.5</v>
      </c>
      <c r="H175" s="3">
        <v>17420</v>
      </c>
      <c r="I175" s="3" t="s">
        <v>5</v>
      </c>
      <c r="J175" s="3" t="str">
        <f t="shared" si="6"/>
        <v>Sale</v>
      </c>
      <c r="K175" s="6">
        <f t="shared" si="7"/>
        <v>17</v>
      </c>
      <c r="L175" s="6">
        <f t="shared" si="8"/>
        <v>17</v>
      </c>
    </row>
    <row r="176" spans="1:12" x14ac:dyDescent="0.35">
      <c r="A176" s="3">
        <v>536385</v>
      </c>
      <c r="B176" s="3">
        <v>22662</v>
      </c>
      <c r="C176" s="3" t="s">
        <v>205</v>
      </c>
      <c r="D176" s="9">
        <v>10</v>
      </c>
      <c r="E176" s="4">
        <v>40368</v>
      </c>
      <c r="F176" s="5">
        <v>0.41388888888888886</v>
      </c>
      <c r="G176" s="6">
        <v>1.65</v>
      </c>
      <c r="H176" s="3">
        <v>17420</v>
      </c>
      <c r="I176" s="3" t="s">
        <v>5</v>
      </c>
      <c r="J176" s="3" t="str">
        <f t="shared" si="6"/>
        <v>Sale</v>
      </c>
      <c r="K176" s="6">
        <f t="shared" si="7"/>
        <v>16.5</v>
      </c>
      <c r="L176" s="6">
        <f t="shared" si="8"/>
        <v>16.5</v>
      </c>
    </row>
    <row r="177" spans="1:12" x14ac:dyDescent="0.35">
      <c r="A177" s="3">
        <v>536386</v>
      </c>
      <c r="B177" s="3">
        <v>84880</v>
      </c>
      <c r="C177" s="3" t="s">
        <v>206</v>
      </c>
      <c r="D177" s="9">
        <v>36</v>
      </c>
      <c r="E177" s="4">
        <v>40369</v>
      </c>
      <c r="F177" s="5">
        <v>0.41458333333333336</v>
      </c>
      <c r="G177" s="6">
        <v>4.95</v>
      </c>
      <c r="H177" s="3">
        <v>16029</v>
      </c>
      <c r="I177" s="3" t="s">
        <v>5</v>
      </c>
      <c r="J177" s="3" t="str">
        <f t="shared" si="6"/>
        <v>Sale</v>
      </c>
      <c r="K177" s="6">
        <f t="shared" si="7"/>
        <v>178.20000000000002</v>
      </c>
      <c r="L177" s="6">
        <f t="shared" si="8"/>
        <v>178.20000000000002</v>
      </c>
    </row>
    <row r="178" spans="1:12" x14ac:dyDescent="0.35">
      <c r="A178" s="3">
        <v>536386</v>
      </c>
      <c r="B178" s="3" t="s">
        <v>12</v>
      </c>
      <c r="C178" s="3" t="s">
        <v>128</v>
      </c>
      <c r="D178" s="9">
        <v>100</v>
      </c>
      <c r="E178" s="4">
        <v>40370</v>
      </c>
      <c r="F178" s="5">
        <v>0.41458333333333336</v>
      </c>
      <c r="G178" s="6">
        <v>1.65</v>
      </c>
      <c r="H178" s="3">
        <v>16029</v>
      </c>
      <c r="I178" s="3" t="s">
        <v>5</v>
      </c>
      <c r="J178" s="3" t="str">
        <f t="shared" si="6"/>
        <v>Sale</v>
      </c>
      <c r="K178" s="6">
        <f t="shared" si="7"/>
        <v>165</v>
      </c>
      <c r="L178" s="6">
        <f t="shared" si="8"/>
        <v>165</v>
      </c>
    </row>
    <row r="179" spans="1:12" x14ac:dyDescent="0.35">
      <c r="A179" s="3">
        <v>536386</v>
      </c>
      <c r="B179" s="3" t="s">
        <v>29</v>
      </c>
      <c r="C179" s="3" t="s">
        <v>207</v>
      </c>
      <c r="D179" s="9">
        <v>100</v>
      </c>
      <c r="E179" s="4">
        <v>40371</v>
      </c>
      <c r="F179" s="5">
        <v>0.41458333333333336</v>
      </c>
      <c r="G179" s="6">
        <v>1.65</v>
      </c>
      <c r="H179" s="3">
        <v>16029</v>
      </c>
      <c r="I179" s="3" t="s">
        <v>5</v>
      </c>
      <c r="J179" s="3" t="str">
        <f t="shared" si="6"/>
        <v>Sale</v>
      </c>
      <c r="K179" s="6">
        <f t="shared" si="7"/>
        <v>165</v>
      </c>
      <c r="L179" s="6">
        <f t="shared" si="8"/>
        <v>165</v>
      </c>
    </row>
    <row r="180" spans="1:12" x14ac:dyDescent="0.35">
      <c r="A180" s="3">
        <v>536387</v>
      </c>
      <c r="B180" s="3">
        <v>79321</v>
      </c>
      <c r="C180" s="3" t="s">
        <v>208</v>
      </c>
      <c r="D180" s="9">
        <v>192</v>
      </c>
      <c r="E180" s="4">
        <v>40372</v>
      </c>
      <c r="F180" s="5">
        <v>0.4152777777777778</v>
      </c>
      <c r="G180" s="6">
        <v>3.82</v>
      </c>
      <c r="H180" s="3">
        <v>16029</v>
      </c>
      <c r="I180" s="3" t="s">
        <v>5</v>
      </c>
      <c r="J180" s="3" t="str">
        <f t="shared" si="6"/>
        <v>Sale</v>
      </c>
      <c r="K180" s="6">
        <f t="shared" si="7"/>
        <v>733.43999999999994</v>
      </c>
      <c r="L180" s="6">
        <f t="shared" si="8"/>
        <v>733.43999999999994</v>
      </c>
    </row>
    <row r="181" spans="1:12" x14ac:dyDescent="0.35">
      <c r="A181" s="3">
        <v>536387</v>
      </c>
      <c r="B181" s="3">
        <v>22780</v>
      </c>
      <c r="C181" s="3" t="s">
        <v>209</v>
      </c>
      <c r="D181" s="9">
        <v>192</v>
      </c>
      <c r="E181" s="4">
        <v>40373</v>
      </c>
      <c r="F181" s="5">
        <v>0.4152777777777778</v>
      </c>
      <c r="G181" s="6">
        <v>3.37</v>
      </c>
      <c r="H181" s="3">
        <v>16029</v>
      </c>
      <c r="I181" s="3" t="s">
        <v>5</v>
      </c>
      <c r="J181" s="3" t="str">
        <f t="shared" si="6"/>
        <v>Sale</v>
      </c>
      <c r="K181" s="6">
        <f t="shared" si="7"/>
        <v>647.04</v>
      </c>
      <c r="L181" s="6">
        <f t="shared" si="8"/>
        <v>647.04</v>
      </c>
    </row>
    <row r="182" spans="1:12" x14ac:dyDescent="0.35">
      <c r="A182" s="3">
        <v>536387</v>
      </c>
      <c r="B182" s="3">
        <v>22779</v>
      </c>
      <c r="C182" s="3" t="s">
        <v>210</v>
      </c>
      <c r="D182" s="9">
        <v>192</v>
      </c>
      <c r="E182" s="4">
        <v>40374</v>
      </c>
      <c r="F182" s="5">
        <v>0.4152777777777778</v>
      </c>
      <c r="G182" s="6">
        <v>3.37</v>
      </c>
      <c r="H182" s="3">
        <v>16029</v>
      </c>
      <c r="I182" s="3" t="s">
        <v>5</v>
      </c>
      <c r="J182" s="3" t="str">
        <f t="shared" si="6"/>
        <v>Sale</v>
      </c>
      <c r="K182" s="6">
        <f t="shared" si="7"/>
        <v>647.04</v>
      </c>
      <c r="L182" s="6">
        <f t="shared" si="8"/>
        <v>647.04</v>
      </c>
    </row>
    <row r="183" spans="1:12" x14ac:dyDescent="0.35">
      <c r="A183" s="3">
        <v>536387</v>
      </c>
      <c r="B183" s="3">
        <v>22466</v>
      </c>
      <c r="C183" s="3" t="s">
        <v>211</v>
      </c>
      <c r="D183" s="9">
        <v>432</v>
      </c>
      <c r="E183" s="4">
        <v>40375</v>
      </c>
      <c r="F183" s="5">
        <v>0.4152777777777778</v>
      </c>
      <c r="G183" s="6">
        <v>1.45</v>
      </c>
      <c r="H183" s="3">
        <v>16029</v>
      </c>
      <c r="I183" s="3" t="s">
        <v>5</v>
      </c>
      <c r="J183" s="3" t="str">
        <f t="shared" si="6"/>
        <v>Sale</v>
      </c>
      <c r="K183" s="6">
        <f t="shared" si="7"/>
        <v>626.4</v>
      </c>
      <c r="L183" s="6">
        <f t="shared" si="8"/>
        <v>626.4</v>
      </c>
    </row>
    <row r="184" spans="1:12" x14ac:dyDescent="0.35">
      <c r="A184" s="3">
        <v>536387</v>
      </c>
      <c r="B184" s="3">
        <v>21731</v>
      </c>
      <c r="C184" s="3" t="s">
        <v>107</v>
      </c>
      <c r="D184" s="9">
        <v>432</v>
      </c>
      <c r="E184" s="4">
        <v>40376</v>
      </c>
      <c r="F184" s="5">
        <v>0.4152777777777778</v>
      </c>
      <c r="G184" s="6">
        <v>1.25</v>
      </c>
      <c r="H184" s="3">
        <v>16029</v>
      </c>
      <c r="I184" s="3" t="s">
        <v>5</v>
      </c>
      <c r="J184" s="3" t="str">
        <f t="shared" si="6"/>
        <v>Sale</v>
      </c>
      <c r="K184" s="6">
        <f t="shared" si="7"/>
        <v>540</v>
      </c>
      <c r="L184" s="6">
        <f t="shared" si="8"/>
        <v>540</v>
      </c>
    </row>
    <row r="185" spans="1:12" x14ac:dyDescent="0.35">
      <c r="A185" s="3">
        <v>536388</v>
      </c>
      <c r="B185" s="3">
        <v>21754</v>
      </c>
      <c r="C185" s="3" t="s">
        <v>85</v>
      </c>
      <c r="D185" s="9">
        <v>3</v>
      </c>
      <c r="E185" s="4">
        <v>40377</v>
      </c>
      <c r="F185" s="5">
        <v>0.41597222222222224</v>
      </c>
      <c r="G185" s="6">
        <v>5.95</v>
      </c>
      <c r="H185" s="3">
        <v>16250</v>
      </c>
      <c r="I185" s="3" t="s">
        <v>5</v>
      </c>
      <c r="J185" s="3" t="str">
        <f t="shared" si="6"/>
        <v>Sale</v>
      </c>
      <c r="K185" s="6">
        <f t="shared" si="7"/>
        <v>17.850000000000001</v>
      </c>
      <c r="L185" s="6">
        <f t="shared" si="8"/>
        <v>17.850000000000001</v>
      </c>
    </row>
    <row r="186" spans="1:12" x14ac:dyDescent="0.35">
      <c r="A186" s="3">
        <v>536388</v>
      </c>
      <c r="B186" s="3">
        <v>21755</v>
      </c>
      <c r="C186" s="3" t="s">
        <v>86</v>
      </c>
      <c r="D186" s="9">
        <v>3</v>
      </c>
      <c r="E186" s="4">
        <v>40378</v>
      </c>
      <c r="F186" s="5">
        <v>0.41597222222222224</v>
      </c>
      <c r="G186" s="6">
        <v>5.95</v>
      </c>
      <c r="H186" s="3">
        <v>16250</v>
      </c>
      <c r="I186" s="3" t="s">
        <v>5</v>
      </c>
      <c r="J186" s="3" t="str">
        <f t="shared" si="6"/>
        <v>Sale</v>
      </c>
      <c r="K186" s="6">
        <f t="shared" si="7"/>
        <v>17.850000000000001</v>
      </c>
      <c r="L186" s="6">
        <f t="shared" si="8"/>
        <v>17.850000000000001</v>
      </c>
    </row>
    <row r="187" spans="1:12" x14ac:dyDescent="0.35">
      <c r="A187" s="3">
        <v>536388</v>
      </c>
      <c r="B187" s="3">
        <v>21523</v>
      </c>
      <c r="C187" s="3" t="s">
        <v>178</v>
      </c>
      <c r="D187" s="9">
        <v>2</v>
      </c>
      <c r="E187" s="4">
        <v>40379</v>
      </c>
      <c r="F187" s="5">
        <v>0.41597222222222224</v>
      </c>
      <c r="G187" s="6">
        <v>7.95</v>
      </c>
      <c r="H187" s="3">
        <v>16250</v>
      </c>
      <c r="I187" s="3" t="s">
        <v>5</v>
      </c>
      <c r="J187" s="3" t="str">
        <f t="shared" si="6"/>
        <v>Sale</v>
      </c>
      <c r="K187" s="6">
        <f t="shared" si="7"/>
        <v>15.9</v>
      </c>
      <c r="L187" s="6">
        <f t="shared" si="8"/>
        <v>15.9</v>
      </c>
    </row>
    <row r="188" spans="1:12" x14ac:dyDescent="0.35">
      <c r="A188" s="3">
        <v>536388</v>
      </c>
      <c r="B188" s="3">
        <v>21363</v>
      </c>
      <c r="C188" s="3" t="s">
        <v>212</v>
      </c>
      <c r="D188" s="9">
        <v>3</v>
      </c>
      <c r="E188" s="4">
        <v>40380</v>
      </c>
      <c r="F188" s="5">
        <v>0.41597222222222224</v>
      </c>
      <c r="G188" s="6">
        <v>4.95</v>
      </c>
      <c r="H188" s="3">
        <v>16250</v>
      </c>
      <c r="I188" s="3" t="s">
        <v>5</v>
      </c>
      <c r="J188" s="3" t="str">
        <f t="shared" si="6"/>
        <v>Sale</v>
      </c>
      <c r="K188" s="6">
        <f t="shared" si="7"/>
        <v>14.850000000000001</v>
      </c>
      <c r="L188" s="6">
        <f t="shared" si="8"/>
        <v>14.850000000000001</v>
      </c>
    </row>
    <row r="189" spans="1:12" x14ac:dyDescent="0.35">
      <c r="A189" s="3">
        <v>536388</v>
      </c>
      <c r="B189" s="3">
        <v>21411</v>
      </c>
      <c r="C189" s="3" t="s">
        <v>213</v>
      </c>
      <c r="D189" s="9">
        <v>3</v>
      </c>
      <c r="E189" s="4">
        <v>40381</v>
      </c>
      <c r="F189" s="5">
        <v>0.41597222222222224</v>
      </c>
      <c r="G189" s="6">
        <v>4.25</v>
      </c>
      <c r="H189" s="3">
        <v>16250</v>
      </c>
      <c r="I189" s="3" t="s">
        <v>5</v>
      </c>
      <c r="J189" s="3" t="str">
        <f t="shared" si="6"/>
        <v>Sale</v>
      </c>
      <c r="K189" s="6">
        <f t="shared" si="7"/>
        <v>12.75</v>
      </c>
      <c r="L189" s="6">
        <f t="shared" si="8"/>
        <v>12.75</v>
      </c>
    </row>
    <row r="190" spans="1:12" x14ac:dyDescent="0.35">
      <c r="A190" s="3">
        <v>536388</v>
      </c>
      <c r="B190" s="3">
        <v>22318</v>
      </c>
      <c r="C190" s="3" t="s">
        <v>214</v>
      </c>
      <c r="D190" s="9">
        <v>6</v>
      </c>
      <c r="E190" s="4">
        <v>40382</v>
      </c>
      <c r="F190" s="5">
        <v>0.41597222222222224</v>
      </c>
      <c r="G190" s="6">
        <v>2.95</v>
      </c>
      <c r="H190" s="3">
        <v>16250</v>
      </c>
      <c r="I190" s="3" t="s">
        <v>5</v>
      </c>
      <c r="J190" s="3" t="str">
        <f t="shared" si="6"/>
        <v>Sale</v>
      </c>
      <c r="K190" s="6">
        <f t="shared" si="7"/>
        <v>17.700000000000003</v>
      </c>
      <c r="L190" s="6">
        <f t="shared" si="8"/>
        <v>17.700000000000003</v>
      </c>
    </row>
    <row r="191" spans="1:12" x14ac:dyDescent="0.35">
      <c r="A191" s="3">
        <v>536388</v>
      </c>
      <c r="B191" s="3">
        <v>22464</v>
      </c>
      <c r="C191" s="3" t="s">
        <v>191</v>
      </c>
      <c r="D191" s="9">
        <v>12</v>
      </c>
      <c r="E191" s="4">
        <v>40383</v>
      </c>
      <c r="F191" s="5">
        <v>0.41597222222222224</v>
      </c>
      <c r="G191" s="6">
        <v>1.65</v>
      </c>
      <c r="H191" s="3">
        <v>16250</v>
      </c>
      <c r="I191" s="3" t="s">
        <v>5</v>
      </c>
      <c r="J191" s="3" t="str">
        <f t="shared" si="6"/>
        <v>Sale</v>
      </c>
      <c r="K191" s="6">
        <f t="shared" si="7"/>
        <v>19.799999999999997</v>
      </c>
      <c r="L191" s="6">
        <f t="shared" si="8"/>
        <v>19.799999999999997</v>
      </c>
    </row>
    <row r="192" spans="1:12" x14ac:dyDescent="0.35">
      <c r="A192" s="3">
        <v>536388</v>
      </c>
      <c r="B192" s="3">
        <v>22915</v>
      </c>
      <c r="C192" s="3" t="s">
        <v>215</v>
      </c>
      <c r="D192" s="9">
        <v>12</v>
      </c>
      <c r="E192" s="4">
        <v>40384</v>
      </c>
      <c r="F192" s="5">
        <v>0.41597222222222224</v>
      </c>
      <c r="G192" s="6">
        <v>0.42</v>
      </c>
      <c r="H192" s="3">
        <v>16250</v>
      </c>
      <c r="I192" s="3" t="s">
        <v>5</v>
      </c>
      <c r="J192" s="3" t="str">
        <f t="shared" si="6"/>
        <v>Sale</v>
      </c>
      <c r="K192" s="6">
        <f t="shared" si="7"/>
        <v>5.04</v>
      </c>
      <c r="L192" s="6">
        <f t="shared" si="8"/>
        <v>5.04</v>
      </c>
    </row>
    <row r="193" spans="1:12" x14ac:dyDescent="0.35">
      <c r="A193" s="3">
        <v>536388</v>
      </c>
      <c r="B193" s="3">
        <v>22922</v>
      </c>
      <c r="C193" s="3" t="s">
        <v>216</v>
      </c>
      <c r="D193" s="9">
        <v>12</v>
      </c>
      <c r="E193" s="4">
        <v>40385</v>
      </c>
      <c r="F193" s="5">
        <v>0.41597222222222224</v>
      </c>
      <c r="G193" s="6">
        <v>0.85</v>
      </c>
      <c r="H193" s="3">
        <v>16250</v>
      </c>
      <c r="I193" s="3" t="s">
        <v>5</v>
      </c>
      <c r="J193" s="3" t="str">
        <f t="shared" si="6"/>
        <v>Sale</v>
      </c>
      <c r="K193" s="6">
        <f t="shared" si="7"/>
        <v>10.199999999999999</v>
      </c>
      <c r="L193" s="6">
        <f t="shared" si="8"/>
        <v>10.199999999999999</v>
      </c>
    </row>
    <row r="194" spans="1:12" x14ac:dyDescent="0.35">
      <c r="A194" s="3">
        <v>536388</v>
      </c>
      <c r="B194" s="3">
        <v>22969</v>
      </c>
      <c r="C194" s="3" t="s">
        <v>217</v>
      </c>
      <c r="D194" s="9">
        <v>12</v>
      </c>
      <c r="E194" s="4">
        <v>40386</v>
      </c>
      <c r="F194" s="5">
        <v>0.41597222222222224</v>
      </c>
      <c r="G194" s="6">
        <v>1.45</v>
      </c>
      <c r="H194" s="3">
        <v>16250</v>
      </c>
      <c r="I194" s="3" t="s">
        <v>5</v>
      </c>
      <c r="J194" s="3" t="str">
        <f t="shared" ref="J194:J257" si="9">IF(D194&lt;1,"Return","Sale")</f>
        <v>Sale</v>
      </c>
      <c r="K194" s="6">
        <f t="shared" ref="K194:K257" si="10">D194*G194</f>
        <v>17.399999999999999</v>
      </c>
      <c r="L194" s="6">
        <f t="shared" si="8"/>
        <v>17.399999999999999</v>
      </c>
    </row>
    <row r="195" spans="1:12" x14ac:dyDescent="0.35">
      <c r="A195" s="3">
        <v>536388</v>
      </c>
      <c r="B195" s="3">
        <v>22923</v>
      </c>
      <c r="C195" s="3" t="s">
        <v>218</v>
      </c>
      <c r="D195" s="9">
        <v>12</v>
      </c>
      <c r="E195" s="4">
        <v>40387</v>
      </c>
      <c r="F195" s="5">
        <v>0.41597222222222224</v>
      </c>
      <c r="G195" s="6">
        <v>0.85</v>
      </c>
      <c r="H195" s="3">
        <v>16250</v>
      </c>
      <c r="I195" s="3" t="s">
        <v>5</v>
      </c>
      <c r="J195" s="3" t="str">
        <f t="shared" si="9"/>
        <v>Sale</v>
      </c>
      <c r="K195" s="6">
        <f t="shared" si="10"/>
        <v>10.199999999999999</v>
      </c>
      <c r="L195" s="6">
        <f t="shared" ref="L195:L258" si="11" xml:space="preserve"> ABS(K195)</f>
        <v>10.199999999999999</v>
      </c>
    </row>
    <row r="196" spans="1:12" x14ac:dyDescent="0.35">
      <c r="A196" s="3">
        <v>536388</v>
      </c>
      <c r="B196" s="3">
        <v>21115</v>
      </c>
      <c r="C196" s="3" t="s">
        <v>219</v>
      </c>
      <c r="D196" s="9">
        <v>4</v>
      </c>
      <c r="E196" s="4">
        <v>40388</v>
      </c>
      <c r="F196" s="5">
        <v>0.41597222222222224</v>
      </c>
      <c r="G196" s="6">
        <v>6.75</v>
      </c>
      <c r="H196" s="3">
        <v>16250</v>
      </c>
      <c r="I196" s="3" t="s">
        <v>5</v>
      </c>
      <c r="J196" s="3" t="str">
        <f t="shared" si="9"/>
        <v>Sale</v>
      </c>
      <c r="K196" s="6">
        <f t="shared" si="10"/>
        <v>27</v>
      </c>
      <c r="L196" s="6">
        <f t="shared" si="11"/>
        <v>27</v>
      </c>
    </row>
    <row r="197" spans="1:12" x14ac:dyDescent="0.35">
      <c r="A197" s="3">
        <v>536388</v>
      </c>
      <c r="B197" s="3">
        <v>22469</v>
      </c>
      <c r="C197" s="3" t="s">
        <v>194</v>
      </c>
      <c r="D197" s="9">
        <v>12</v>
      </c>
      <c r="E197" s="4">
        <v>40389</v>
      </c>
      <c r="F197" s="5">
        <v>0.41597222222222224</v>
      </c>
      <c r="G197" s="6">
        <v>1.65</v>
      </c>
      <c r="H197" s="3">
        <v>16250</v>
      </c>
      <c r="I197" s="3" t="s">
        <v>5</v>
      </c>
      <c r="J197" s="3" t="str">
        <f t="shared" si="9"/>
        <v>Sale</v>
      </c>
      <c r="K197" s="6">
        <f t="shared" si="10"/>
        <v>19.799999999999997</v>
      </c>
      <c r="L197" s="6">
        <f t="shared" si="11"/>
        <v>19.799999999999997</v>
      </c>
    </row>
    <row r="198" spans="1:12" x14ac:dyDescent="0.35">
      <c r="A198" s="3">
        <v>536388</v>
      </c>
      <c r="B198" s="3">
        <v>22242</v>
      </c>
      <c r="C198" s="3" t="s">
        <v>220</v>
      </c>
      <c r="D198" s="9">
        <v>12</v>
      </c>
      <c r="E198" s="4">
        <v>40390</v>
      </c>
      <c r="F198" s="5">
        <v>0.41597222222222224</v>
      </c>
      <c r="G198" s="6">
        <v>1.65</v>
      </c>
      <c r="H198" s="3">
        <v>16250</v>
      </c>
      <c r="I198" s="3" t="s">
        <v>5</v>
      </c>
      <c r="J198" s="3" t="str">
        <f t="shared" si="9"/>
        <v>Sale</v>
      </c>
      <c r="K198" s="6">
        <f t="shared" si="10"/>
        <v>19.799999999999997</v>
      </c>
      <c r="L198" s="6">
        <f t="shared" si="11"/>
        <v>19.799999999999997</v>
      </c>
    </row>
    <row r="199" spans="1:12" x14ac:dyDescent="0.35">
      <c r="A199" s="3">
        <v>536389</v>
      </c>
      <c r="B199" s="3">
        <v>22941</v>
      </c>
      <c r="C199" s="3" t="s">
        <v>221</v>
      </c>
      <c r="D199" s="9">
        <v>6</v>
      </c>
      <c r="E199" s="4">
        <v>40391</v>
      </c>
      <c r="F199" s="5">
        <v>0.41875000000000001</v>
      </c>
      <c r="G199" s="6">
        <v>8.5</v>
      </c>
      <c r="H199" s="3">
        <v>12431</v>
      </c>
      <c r="I199" s="3" t="s">
        <v>30</v>
      </c>
      <c r="J199" s="3" t="str">
        <f t="shared" si="9"/>
        <v>Sale</v>
      </c>
      <c r="K199" s="6">
        <f t="shared" si="10"/>
        <v>51</v>
      </c>
      <c r="L199" s="6">
        <f t="shared" si="11"/>
        <v>51</v>
      </c>
    </row>
    <row r="200" spans="1:12" x14ac:dyDescent="0.35">
      <c r="A200" s="3">
        <v>536389</v>
      </c>
      <c r="B200" s="3">
        <v>21622</v>
      </c>
      <c r="C200" s="3" t="s">
        <v>222</v>
      </c>
      <c r="D200" s="9">
        <v>8</v>
      </c>
      <c r="E200" s="4">
        <v>40392</v>
      </c>
      <c r="F200" s="5">
        <v>0.41875000000000001</v>
      </c>
      <c r="G200" s="6">
        <v>4.95</v>
      </c>
      <c r="H200" s="3">
        <v>12431</v>
      </c>
      <c r="I200" s="3" t="s">
        <v>30</v>
      </c>
      <c r="J200" s="3" t="str">
        <f t="shared" si="9"/>
        <v>Sale</v>
      </c>
      <c r="K200" s="6">
        <f t="shared" si="10"/>
        <v>39.6</v>
      </c>
      <c r="L200" s="6">
        <f t="shared" si="11"/>
        <v>39.6</v>
      </c>
    </row>
    <row r="201" spans="1:12" x14ac:dyDescent="0.35">
      <c r="A201" s="3">
        <v>536389</v>
      </c>
      <c r="B201" s="3">
        <v>21791</v>
      </c>
      <c r="C201" s="3" t="s">
        <v>100</v>
      </c>
      <c r="D201" s="9">
        <v>12</v>
      </c>
      <c r="E201" s="4">
        <v>40393</v>
      </c>
      <c r="F201" s="5">
        <v>0.41875000000000001</v>
      </c>
      <c r="G201" s="6">
        <v>1.25</v>
      </c>
      <c r="H201" s="3">
        <v>12431</v>
      </c>
      <c r="I201" s="3" t="s">
        <v>30</v>
      </c>
      <c r="J201" s="3" t="str">
        <f t="shared" si="9"/>
        <v>Sale</v>
      </c>
      <c r="K201" s="6">
        <f t="shared" si="10"/>
        <v>15</v>
      </c>
      <c r="L201" s="6">
        <f t="shared" si="11"/>
        <v>15</v>
      </c>
    </row>
    <row r="202" spans="1:12" x14ac:dyDescent="0.35">
      <c r="A202" s="3">
        <v>536389</v>
      </c>
      <c r="B202" s="3" t="s">
        <v>27</v>
      </c>
      <c r="C202" s="3" t="s">
        <v>188</v>
      </c>
      <c r="D202" s="9">
        <v>6</v>
      </c>
      <c r="E202" s="4">
        <v>40394</v>
      </c>
      <c r="F202" s="5">
        <v>0.41875000000000001</v>
      </c>
      <c r="G202" s="6">
        <v>5.45</v>
      </c>
      <c r="H202" s="3">
        <v>12431</v>
      </c>
      <c r="I202" s="3" t="s">
        <v>30</v>
      </c>
      <c r="J202" s="3" t="str">
        <f t="shared" si="9"/>
        <v>Sale</v>
      </c>
      <c r="K202" s="6">
        <f t="shared" si="10"/>
        <v>32.700000000000003</v>
      </c>
      <c r="L202" s="6">
        <f t="shared" si="11"/>
        <v>32.700000000000003</v>
      </c>
    </row>
    <row r="203" spans="1:12" x14ac:dyDescent="0.35">
      <c r="A203" s="3">
        <v>536389</v>
      </c>
      <c r="B203" s="3" t="s">
        <v>31</v>
      </c>
      <c r="C203" s="3" t="s">
        <v>223</v>
      </c>
      <c r="D203" s="9">
        <v>4</v>
      </c>
      <c r="E203" s="4">
        <v>40395</v>
      </c>
      <c r="F203" s="5">
        <v>0.41875000000000001</v>
      </c>
      <c r="G203" s="6">
        <v>6.35</v>
      </c>
      <c r="H203" s="3">
        <v>12431</v>
      </c>
      <c r="I203" s="3" t="s">
        <v>30</v>
      </c>
      <c r="J203" s="3" t="str">
        <f t="shared" si="9"/>
        <v>Sale</v>
      </c>
      <c r="K203" s="6">
        <f t="shared" si="10"/>
        <v>25.4</v>
      </c>
      <c r="L203" s="6">
        <f t="shared" si="11"/>
        <v>25.4</v>
      </c>
    </row>
    <row r="204" spans="1:12" x14ac:dyDescent="0.35">
      <c r="A204" s="3">
        <v>536389</v>
      </c>
      <c r="B204" s="3" t="s">
        <v>32</v>
      </c>
      <c r="C204" s="3" t="s">
        <v>224</v>
      </c>
      <c r="D204" s="9">
        <v>6</v>
      </c>
      <c r="E204" s="4">
        <v>40396</v>
      </c>
      <c r="F204" s="5">
        <v>0.41875000000000001</v>
      </c>
      <c r="G204" s="6">
        <v>5.95</v>
      </c>
      <c r="H204" s="3">
        <v>12431</v>
      </c>
      <c r="I204" s="3" t="s">
        <v>30</v>
      </c>
      <c r="J204" s="3" t="str">
        <f t="shared" si="9"/>
        <v>Sale</v>
      </c>
      <c r="K204" s="6">
        <f t="shared" si="10"/>
        <v>35.700000000000003</v>
      </c>
      <c r="L204" s="6">
        <f t="shared" si="11"/>
        <v>35.700000000000003</v>
      </c>
    </row>
    <row r="205" spans="1:12" x14ac:dyDescent="0.35">
      <c r="A205" s="3">
        <v>536389</v>
      </c>
      <c r="B205" s="3" t="s">
        <v>33</v>
      </c>
      <c r="C205" s="3" t="s">
        <v>225</v>
      </c>
      <c r="D205" s="9">
        <v>3</v>
      </c>
      <c r="E205" s="4">
        <v>40397</v>
      </c>
      <c r="F205" s="5">
        <v>0.41875000000000001</v>
      </c>
      <c r="G205" s="6">
        <v>5.95</v>
      </c>
      <c r="H205" s="3">
        <v>12431</v>
      </c>
      <c r="I205" s="3" t="s">
        <v>30</v>
      </c>
      <c r="J205" s="3" t="str">
        <f t="shared" si="9"/>
        <v>Sale</v>
      </c>
      <c r="K205" s="6">
        <f t="shared" si="10"/>
        <v>17.850000000000001</v>
      </c>
      <c r="L205" s="6">
        <f t="shared" si="11"/>
        <v>17.850000000000001</v>
      </c>
    </row>
    <row r="206" spans="1:12" x14ac:dyDescent="0.35">
      <c r="A206" s="3">
        <v>536389</v>
      </c>
      <c r="B206" s="3">
        <v>22193</v>
      </c>
      <c r="C206" s="3" t="s">
        <v>226</v>
      </c>
      <c r="D206" s="9">
        <v>2</v>
      </c>
      <c r="E206" s="4">
        <v>40398</v>
      </c>
      <c r="F206" s="5">
        <v>0.41875000000000001</v>
      </c>
      <c r="G206" s="6">
        <v>8.5</v>
      </c>
      <c r="H206" s="3">
        <v>12431</v>
      </c>
      <c r="I206" s="3" t="s">
        <v>30</v>
      </c>
      <c r="J206" s="3" t="str">
        <f t="shared" si="9"/>
        <v>Sale</v>
      </c>
      <c r="K206" s="6">
        <f t="shared" si="10"/>
        <v>17</v>
      </c>
      <c r="L206" s="6">
        <f t="shared" si="11"/>
        <v>17</v>
      </c>
    </row>
    <row r="207" spans="1:12" x14ac:dyDescent="0.35">
      <c r="A207" s="3">
        <v>536389</v>
      </c>
      <c r="B207" s="3">
        <v>22726</v>
      </c>
      <c r="C207" s="3" t="s">
        <v>96</v>
      </c>
      <c r="D207" s="9">
        <v>4</v>
      </c>
      <c r="E207" s="4">
        <v>40399</v>
      </c>
      <c r="F207" s="5">
        <v>0.41875000000000001</v>
      </c>
      <c r="G207" s="6">
        <v>3.75</v>
      </c>
      <c r="H207" s="3">
        <v>12431</v>
      </c>
      <c r="I207" s="3" t="s">
        <v>30</v>
      </c>
      <c r="J207" s="3" t="str">
        <f t="shared" si="9"/>
        <v>Sale</v>
      </c>
      <c r="K207" s="6">
        <f t="shared" si="10"/>
        <v>15</v>
      </c>
      <c r="L207" s="6">
        <f t="shared" si="11"/>
        <v>15</v>
      </c>
    </row>
    <row r="208" spans="1:12" x14ac:dyDescent="0.35">
      <c r="A208" s="3">
        <v>536389</v>
      </c>
      <c r="B208" s="3">
        <v>22727</v>
      </c>
      <c r="C208" s="3" t="s">
        <v>95</v>
      </c>
      <c r="D208" s="9">
        <v>4</v>
      </c>
      <c r="E208" s="4">
        <v>40400</v>
      </c>
      <c r="F208" s="5">
        <v>0.41875000000000001</v>
      </c>
      <c r="G208" s="6">
        <v>3.75</v>
      </c>
      <c r="H208" s="3">
        <v>12431</v>
      </c>
      <c r="I208" s="3" t="s">
        <v>30</v>
      </c>
      <c r="J208" s="3" t="str">
        <f t="shared" si="9"/>
        <v>Sale</v>
      </c>
      <c r="K208" s="6">
        <f t="shared" si="10"/>
        <v>15</v>
      </c>
      <c r="L208" s="6">
        <f t="shared" si="11"/>
        <v>15</v>
      </c>
    </row>
    <row r="209" spans="1:12" x14ac:dyDescent="0.35">
      <c r="A209" s="3">
        <v>536389</v>
      </c>
      <c r="B209" s="3">
        <v>22192</v>
      </c>
      <c r="C209" s="3" t="s">
        <v>227</v>
      </c>
      <c r="D209" s="9">
        <v>2</v>
      </c>
      <c r="E209" s="4">
        <v>40401</v>
      </c>
      <c r="F209" s="5">
        <v>0.41875000000000001</v>
      </c>
      <c r="G209" s="6">
        <v>8.5</v>
      </c>
      <c r="H209" s="3">
        <v>12431</v>
      </c>
      <c r="I209" s="3" t="s">
        <v>30</v>
      </c>
      <c r="J209" s="3" t="str">
        <f t="shared" si="9"/>
        <v>Sale</v>
      </c>
      <c r="K209" s="6">
        <f t="shared" si="10"/>
        <v>17</v>
      </c>
      <c r="L209" s="6">
        <f t="shared" si="11"/>
        <v>17</v>
      </c>
    </row>
    <row r="210" spans="1:12" x14ac:dyDescent="0.35">
      <c r="A210" s="3">
        <v>536389</v>
      </c>
      <c r="B210" s="3">
        <v>22191</v>
      </c>
      <c r="C210" s="3" t="s">
        <v>228</v>
      </c>
      <c r="D210" s="9">
        <v>2</v>
      </c>
      <c r="E210" s="4">
        <v>40402</v>
      </c>
      <c r="F210" s="5">
        <v>0.41875000000000001</v>
      </c>
      <c r="G210" s="6">
        <v>8.5</v>
      </c>
      <c r="H210" s="3">
        <v>12431</v>
      </c>
      <c r="I210" s="3" t="s">
        <v>30</v>
      </c>
      <c r="J210" s="3" t="str">
        <f t="shared" si="9"/>
        <v>Sale</v>
      </c>
      <c r="K210" s="6">
        <f t="shared" si="10"/>
        <v>17</v>
      </c>
      <c r="L210" s="6">
        <f t="shared" si="11"/>
        <v>17</v>
      </c>
    </row>
    <row r="211" spans="1:12" x14ac:dyDescent="0.35">
      <c r="A211" s="3">
        <v>536389</v>
      </c>
      <c r="B211" s="3">
        <v>22195</v>
      </c>
      <c r="C211" s="3" t="s">
        <v>229</v>
      </c>
      <c r="D211" s="9">
        <v>24</v>
      </c>
      <c r="E211" s="4">
        <v>40403</v>
      </c>
      <c r="F211" s="5">
        <v>0.41875000000000001</v>
      </c>
      <c r="G211" s="6">
        <v>1.65</v>
      </c>
      <c r="H211" s="3">
        <v>12431</v>
      </c>
      <c r="I211" s="3" t="s">
        <v>30</v>
      </c>
      <c r="J211" s="3" t="str">
        <f t="shared" si="9"/>
        <v>Sale</v>
      </c>
      <c r="K211" s="6">
        <f t="shared" si="10"/>
        <v>39.599999999999994</v>
      </c>
      <c r="L211" s="6">
        <f t="shared" si="11"/>
        <v>39.599999999999994</v>
      </c>
    </row>
    <row r="212" spans="1:12" x14ac:dyDescent="0.35">
      <c r="A212" s="3">
        <v>536389</v>
      </c>
      <c r="B212" s="3">
        <v>22196</v>
      </c>
      <c r="C212" s="3" t="s">
        <v>230</v>
      </c>
      <c r="D212" s="9">
        <v>24</v>
      </c>
      <c r="E212" s="4">
        <v>40404</v>
      </c>
      <c r="F212" s="5">
        <v>0.41875000000000001</v>
      </c>
      <c r="G212" s="6">
        <v>0.85</v>
      </c>
      <c r="H212" s="3">
        <v>12431</v>
      </c>
      <c r="I212" s="3" t="s">
        <v>30</v>
      </c>
      <c r="J212" s="3" t="str">
        <f t="shared" si="9"/>
        <v>Sale</v>
      </c>
      <c r="K212" s="6">
        <f t="shared" si="10"/>
        <v>20.399999999999999</v>
      </c>
      <c r="L212" s="6">
        <f t="shared" si="11"/>
        <v>20.399999999999999</v>
      </c>
    </row>
    <row r="213" spans="1:12" x14ac:dyDescent="0.35">
      <c r="A213" s="3">
        <v>536390</v>
      </c>
      <c r="B213" s="3">
        <v>22941</v>
      </c>
      <c r="C213" s="3" t="s">
        <v>221</v>
      </c>
      <c r="D213" s="9">
        <v>2</v>
      </c>
      <c r="E213" s="4">
        <v>40405</v>
      </c>
      <c r="F213" s="5">
        <v>0.42986111111111114</v>
      </c>
      <c r="G213" s="6">
        <v>8.5</v>
      </c>
      <c r="H213" s="3">
        <v>17511</v>
      </c>
      <c r="I213" s="3" t="s">
        <v>5</v>
      </c>
      <c r="J213" s="3" t="str">
        <f t="shared" si="9"/>
        <v>Sale</v>
      </c>
      <c r="K213" s="6">
        <f t="shared" si="10"/>
        <v>17</v>
      </c>
      <c r="L213" s="6">
        <f t="shared" si="11"/>
        <v>17</v>
      </c>
    </row>
    <row r="214" spans="1:12" x14ac:dyDescent="0.35">
      <c r="A214" s="3">
        <v>536390</v>
      </c>
      <c r="B214" s="3">
        <v>22960</v>
      </c>
      <c r="C214" s="3" t="s">
        <v>89</v>
      </c>
      <c r="D214" s="9">
        <v>12</v>
      </c>
      <c r="E214" s="4">
        <v>40406</v>
      </c>
      <c r="F214" s="5">
        <v>0.42986111111111114</v>
      </c>
      <c r="G214" s="6">
        <v>3.75</v>
      </c>
      <c r="H214" s="3">
        <v>17511</v>
      </c>
      <c r="I214" s="3" t="s">
        <v>5</v>
      </c>
      <c r="J214" s="3" t="str">
        <f t="shared" si="9"/>
        <v>Sale</v>
      </c>
      <c r="K214" s="6">
        <f t="shared" si="10"/>
        <v>45</v>
      </c>
      <c r="L214" s="6">
        <f t="shared" si="11"/>
        <v>45</v>
      </c>
    </row>
    <row r="215" spans="1:12" x14ac:dyDescent="0.35">
      <c r="A215" s="3">
        <v>536390</v>
      </c>
      <c r="B215" s="3">
        <v>22961</v>
      </c>
      <c r="C215" s="3" t="s">
        <v>146</v>
      </c>
      <c r="D215" s="9">
        <v>12</v>
      </c>
      <c r="E215" s="4">
        <v>40407</v>
      </c>
      <c r="F215" s="5">
        <v>0.42986111111111114</v>
      </c>
      <c r="G215" s="6">
        <v>1.45</v>
      </c>
      <c r="H215" s="3">
        <v>17511</v>
      </c>
      <c r="I215" s="3" t="s">
        <v>5</v>
      </c>
      <c r="J215" s="3" t="str">
        <f t="shared" si="9"/>
        <v>Sale</v>
      </c>
      <c r="K215" s="6">
        <f t="shared" si="10"/>
        <v>17.399999999999999</v>
      </c>
      <c r="L215" s="6">
        <f t="shared" si="11"/>
        <v>17.399999999999999</v>
      </c>
    </row>
    <row r="216" spans="1:12" x14ac:dyDescent="0.35">
      <c r="A216" s="3">
        <v>536390</v>
      </c>
      <c r="B216" s="3">
        <v>22962</v>
      </c>
      <c r="C216" s="3" t="s">
        <v>231</v>
      </c>
      <c r="D216" s="9">
        <v>48</v>
      </c>
      <c r="E216" s="4">
        <v>40408</v>
      </c>
      <c r="F216" s="5">
        <v>0.42986111111111114</v>
      </c>
      <c r="G216" s="6">
        <v>0.72</v>
      </c>
      <c r="H216" s="3">
        <v>17511</v>
      </c>
      <c r="I216" s="3" t="s">
        <v>5</v>
      </c>
      <c r="J216" s="3" t="str">
        <f t="shared" si="9"/>
        <v>Sale</v>
      </c>
      <c r="K216" s="6">
        <f t="shared" si="10"/>
        <v>34.56</v>
      </c>
      <c r="L216" s="6">
        <f t="shared" si="11"/>
        <v>34.56</v>
      </c>
    </row>
    <row r="217" spans="1:12" x14ac:dyDescent="0.35">
      <c r="A217" s="3">
        <v>536390</v>
      </c>
      <c r="B217" s="3">
        <v>22963</v>
      </c>
      <c r="C217" s="3" t="s">
        <v>232</v>
      </c>
      <c r="D217" s="9">
        <v>48</v>
      </c>
      <c r="E217" s="4">
        <v>40409</v>
      </c>
      <c r="F217" s="5">
        <v>0.42986111111111114</v>
      </c>
      <c r="G217" s="6">
        <v>0.72</v>
      </c>
      <c r="H217" s="3">
        <v>17511</v>
      </c>
      <c r="I217" s="3" t="s">
        <v>5</v>
      </c>
      <c r="J217" s="3" t="str">
        <f t="shared" si="9"/>
        <v>Sale</v>
      </c>
      <c r="K217" s="6">
        <f t="shared" si="10"/>
        <v>34.56</v>
      </c>
      <c r="L217" s="6">
        <f t="shared" si="11"/>
        <v>34.56</v>
      </c>
    </row>
    <row r="218" spans="1:12" x14ac:dyDescent="0.35">
      <c r="A218" s="3">
        <v>536390</v>
      </c>
      <c r="B218" s="3">
        <v>22968</v>
      </c>
      <c r="C218" s="3" t="s">
        <v>233</v>
      </c>
      <c r="D218" s="9">
        <v>8</v>
      </c>
      <c r="E218" s="4">
        <v>40410</v>
      </c>
      <c r="F218" s="5">
        <v>0.42986111111111114</v>
      </c>
      <c r="G218" s="6">
        <v>8.5</v>
      </c>
      <c r="H218" s="3">
        <v>17511</v>
      </c>
      <c r="I218" s="3" t="s">
        <v>5</v>
      </c>
      <c r="J218" s="3" t="str">
        <f t="shared" si="9"/>
        <v>Sale</v>
      </c>
      <c r="K218" s="6">
        <f t="shared" si="10"/>
        <v>68</v>
      </c>
      <c r="L218" s="6">
        <f t="shared" si="11"/>
        <v>68</v>
      </c>
    </row>
    <row r="219" spans="1:12" x14ac:dyDescent="0.35">
      <c r="A219" s="3">
        <v>536390</v>
      </c>
      <c r="B219" s="3" t="s">
        <v>34</v>
      </c>
      <c r="C219" s="3" t="s">
        <v>234</v>
      </c>
      <c r="D219" s="9">
        <v>144</v>
      </c>
      <c r="E219" s="4">
        <v>40411</v>
      </c>
      <c r="F219" s="5">
        <v>0.42986111111111114</v>
      </c>
      <c r="G219" s="6">
        <v>0.64</v>
      </c>
      <c r="H219" s="3">
        <v>17511</v>
      </c>
      <c r="I219" s="3" t="s">
        <v>5</v>
      </c>
      <c r="J219" s="3" t="str">
        <f t="shared" si="9"/>
        <v>Sale</v>
      </c>
      <c r="K219" s="6">
        <f t="shared" si="10"/>
        <v>92.16</v>
      </c>
      <c r="L219" s="6">
        <f t="shared" si="11"/>
        <v>92.16</v>
      </c>
    </row>
    <row r="220" spans="1:12" x14ac:dyDescent="0.35">
      <c r="A220" s="3">
        <v>536390</v>
      </c>
      <c r="B220" s="3">
        <v>22910</v>
      </c>
      <c r="C220" s="3" t="s">
        <v>235</v>
      </c>
      <c r="D220" s="9">
        <v>40</v>
      </c>
      <c r="E220" s="4">
        <v>40412</v>
      </c>
      <c r="F220" s="5">
        <v>0.42986111111111114</v>
      </c>
      <c r="G220" s="6">
        <v>2.5499999999999998</v>
      </c>
      <c r="H220" s="3">
        <v>17511</v>
      </c>
      <c r="I220" s="3" t="s">
        <v>5</v>
      </c>
      <c r="J220" s="3" t="str">
        <f t="shared" si="9"/>
        <v>Sale</v>
      </c>
      <c r="K220" s="6">
        <f t="shared" si="10"/>
        <v>102</v>
      </c>
      <c r="L220" s="6">
        <f t="shared" si="11"/>
        <v>102</v>
      </c>
    </row>
    <row r="221" spans="1:12" x14ac:dyDescent="0.35">
      <c r="A221" s="3">
        <v>536390</v>
      </c>
      <c r="B221" s="3">
        <v>20668</v>
      </c>
      <c r="C221" s="3" t="s">
        <v>236</v>
      </c>
      <c r="D221" s="9">
        <v>288</v>
      </c>
      <c r="E221" s="4">
        <v>40413</v>
      </c>
      <c r="F221" s="5">
        <v>0.42986111111111114</v>
      </c>
      <c r="G221" s="6">
        <v>0.1</v>
      </c>
      <c r="H221" s="3">
        <v>17511</v>
      </c>
      <c r="I221" s="3" t="s">
        <v>5</v>
      </c>
      <c r="J221" s="3" t="str">
        <f t="shared" si="9"/>
        <v>Sale</v>
      </c>
      <c r="K221" s="6">
        <f t="shared" si="10"/>
        <v>28.8</v>
      </c>
      <c r="L221" s="6">
        <f t="shared" si="11"/>
        <v>28.8</v>
      </c>
    </row>
    <row r="222" spans="1:12" x14ac:dyDescent="0.35">
      <c r="A222" s="3">
        <v>536390</v>
      </c>
      <c r="B222" s="3" t="s">
        <v>4</v>
      </c>
      <c r="C222" s="3" t="s">
        <v>68</v>
      </c>
      <c r="D222" s="9">
        <v>64</v>
      </c>
      <c r="E222" s="4">
        <v>40414</v>
      </c>
      <c r="F222" s="5">
        <v>0.42986111111111114</v>
      </c>
      <c r="G222" s="6">
        <v>2.5499999999999998</v>
      </c>
      <c r="H222" s="3">
        <v>17511</v>
      </c>
      <c r="I222" s="3" t="s">
        <v>5</v>
      </c>
      <c r="J222" s="3" t="str">
        <f t="shared" si="9"/>
        <v>Sale</v>
      </c>
      <c r="K222" s="6">
        <f t="shared" si="10"/>
        <v>163.19999999999999</v>
      </c>
      <c r="L222" s="6">
        <f t="shared" si="11"/>
        <v>163.19999999999999</v>
      </c>
    </row>
    <row r="223" spans="1:12" x14ac:dyDescent="0.35">
      <c r="A223" s="3">
        <v>536390</v>
      </c>
      <c r="B223" s="3">
        <v>22197</v>
      </c>
      <c r="C223" s="3" t="s">
        <v>237</v>
      </c>
      <c r="D223" s="9">
        <v>100</v>
      </c>
      <c r="E223" s="4">
        <v>40415</v>
      </c>
      <c r="F223" s="5">
        <v>0.42986111111111114</v>
      </c>
      <c r="G223" s="6">
        <v>0.72</v>
      </c>
      <c r="H223" s="3">
        <v>17511</v>
      </c>
      <c r="I223" s="3" t="s">
        <v>5</v>
      </c>
      <c r="J223" s="3" t="str">
        <f t="shared" si="9"/>
        <v>Sale</v>
      </c>
      <c r="K223" s="6">
        <f t="shared" si="10"/>
        <v>72</v>
      </c>
      <c r="L223" s="6">
        <f t="shared" si="11"/>
        <v>72</v>
      </c>
    </row>
    <row r="224" spans="1:12" x14ac:dyDescent="0.35">
      <c r="A224" s="3">
        <v>536390</v>
      </c>
      <c r="B224" s="3">
        <v>22198</v>
      </c>
      <c r="C224" s="3" t="s">
        <v>238</v>
      </c>
      <c r="D224" s="9">
        <v>50</v>
      </c>
      <c r="E224" s="4">
        <v>40416</v>
      </c>
      <c r="F224" s="5">
        <v>0.42986111111111114</v>
      </c>
      <c r="G224" s="6">
        <v>1.45</v>
      </c>
      <c r="H224" s="3">
        <v>17511</v>
      </c>
      <c r="I224" s="3" t="s">
        <v>5</v>
      </c>
      <c r="J224" s="3" t="str">
        <f t="shared" si="9"/>
        <v>Sale</v>
      </c>
      <c r="K224" s="6">
        <f t="shared" si="10"/>
        <v>72.5</v>
      </c>
      <c r="L224" s="6">
        <f t="shared" si="11"/>
        <v>72.5</v>
      </c>
    </row>
    <row r="225" spans="1:12" x14ac:dyDescent="0.35">
      <c r="A225" s="3">
        <v>536390</v>
      </c>
      <c r="B225" s="3">
        <v>21533</v>
      </c>
      <c r="C225" s="3" t="s">
        <v>169</v>
      </c>
      <c r="D225" s="9">
        <v>12</v>
      </c>
      <c r="E225" s="4">
        <v>40417</v>
      </c>
      <c r="F225" s="5">
        <v>0.42986111111111114</v>
      </c>
      <c r="G225" s="6">
        <v>4.25</v>
      </c>
      <c r="H225" s="3">
        <v>17511</v>
      </c>
      <c r="I225" s="3" t="s">
        <v>5</v>
      </c>
      <c r="J225" s="3" t="str">
        <f t="shared" si="9"/>
        <v>Sale</v>
      </c>
      <c r="K225" s="6">
        <f t="shared" si="10"/>
        <v>51</v>
      </c>
      <c r="L225" s="6">
        <f t="shared" si="11"/>
        <v>51</v>
      </c>
    </row>
    <row r="226" spans="1:12" x14ac:dyDescent="0.35">
      <c r="A226" s="3">
        <v>536390</v>
      </c>
      <c r="B226" s="3">
        <v>21080</v>
      </c>
      <c r="C226" s="3" t="s">
        <v>239</v>
      </c>
      <c r="D226" s="9">
        <v>96</v>
      </c>
      <c r="E226" s="4">
        <v>40418</v>
      </c>
      <c r="F226" s="5">
        <v>0.42986111111111114</v>
      </c>
      <c r="G226" s="6">
        <v>0.64</v>
      </c>
      <c r="H226" s="3">
        <v>17511</v>
      </c>
      <c r="I226" s="3" t="s">
        <v>5</v>
      </c>
      <c r="J226" s="3" t="str">
        <f t="shared" si="9"/>
        <v>Sale</v>
      </c>
      <c r="K226" s="6">
        <f t="shared" si="10"/>
        <v>61.44</v>
      </c>
      <c r="L226" s="6">
        <f t="shared" si="11"/>
        <v>61.44</v>
      </c>
    </row>
    <row r="227" spans="1:12" x14ac:dyDescent="0.35">
      <c r="A227" s="3">
        <v>536390</v>
      </c>
      <c r="B227" s="3">
        <v>21094</v>
      </c>
      <c r="C227" s="3" t="s">
        <v>133</v>
      </c>
      <c r="D227" s="9">
        <v>96</v>
      </c>
      <c r="E227" s="4">
        <v>40419</v>
      </c>
      <c r="F227" s="5">
        <v>0.42986111111111114</v>
      </c>
      <c r="G227" s="6">
        <v>0.64</v>
      </c>
      <c r="H227" s="3">
        <v>17511</v>
      </c>
      <c r="I227" s="3" t="s">
        <v>5</v>
      </c>
      <c r="J227" s="3" t="str">
        <f t="shared" si="9"/>
        <v>Sale</v>
      </c>
      <c r="K227" s="6">
        <f t="shared" si="10"/>
        <v>61.44</v>
      </c>
      <c r="L227" s="6">
        <f t="shared" si="11"/>
        <v>61.44</v>
      </c>
    </row>
    <row r="228" spans="1:12" x14ac:dyDescent="0.35">
      <c r="A228" s="3">
        <v>536390</v>
      </c>
      <c r="B228" s="3">
        <v>21086</v>
      </c>
      <c r="C228" s="3" t="s">
        <v>240</v>
      </c>
      <c r="D228" s="9">
        <v>48</v>
      </c>
      <c r="E228" s="4">
        <v>40420</v>
      </c>
      <c r="F228" s="5">
        <v>0.42986111111111114</v>
      </c>
      <c r="G228" s="6">
        <v>0.65</v>
      </c>
      <c r="H228" s="3">
        <v>17511</v>
      </c>
      <c r="I228" s="3" t="s">
        <v>5</v>
      </c>
      <c r="J228" s="3" t="str">
        <f t="shared" si="9"/>
        <v>Sale</v>
      </c>
      <c r="K228" s="6">
        <f t="shared" si="10"/>
        <v>31.200000000000003</v>
      </c>
      <c r="L228" s="6">
        <f t="shared" si="11"/>
        <v>31.200000000000003</v>
      </c>
    </row>
    <row r="229" spans="1:12" x14ac:dyDescent="0.35">
      <c r="A229" s="3">
        <v>536390</v>
      </c>
      <c r="B229" s="3">
        <v>21786</v>
      </c>
      <c r="C229" s="3" t="s">
        <v>241</v>
      </c>
      <c r="D229" s="9">
        <v>144</v>
      </c>
      <c r="E229" s="4">
        <v>40421</v>
      </c>
      <c r="F229" s="5">
        <v>0.42986111111111114</v>
      </c>
      <c r="G229" s="6">
        <v>0.32</v>
      </c>
      <c r="H229" s="3">
        <v>17511</v>
      </c>
      <c r="I229" s="3" t="s">
        <v>5</v>
      </c>
      <c r="J229" s="3" t="str">
        <f t="shared" si="9"/>
        <v>Sale</v>
      </c>
      <c r="K229" s="6">
        <f t="shared" si="10"/>
        <v>46.08</v>
      </c>
      <c r="L229" s="6">
        <f t="shared" si="11"/>
        <v>46.08</v>
      </c>
    </row>
    <row r="230" spans="1:12" x14ac:dyDescent="0.35">
      <c r="A230" s="3">
        <v>536390</v>
      </c>
      <c r="B230" s="3">
        <v>22654</v>
      </c>
      <c r="C230" s="3" t="s">
        <v>242</v>
      </c>
      <c r="D230" s="9">
        <v>40</v>
      </c>
      <c r="E230" s="4">
        <v>40422</v>
      </c>
      <c r="F230" s="5">
        <v>0.42986111111111114</v>
      </c>
      <c r="G230" s="6">
        <v>4.95</v>
      </c>
      <c r="H230" s="3">
        <v>17511</v>
      </c>
      <c r="I230" s="3" t="s">
        <v>5</v>
      </c>
      <c r="J230" s="3" t="str">
        <f t="shared" si="9"/>
        <v>Sale</v>
      </c>
      <c r="K230" s="6">
        <f t="shared" si="10"/>
        <v>198</v>
      </c>
      <c r="L230" s="6">
        <f t="shared" si="11"/>
        <v>198</v>
      </c>
    </row>
    <row r="231" spans="1:12" x14ac:dyDescent="0.35">
      <c r="A231" s="3">
        <v>536390</v>
      </c>
      <c r="B231" s="3">
        <v>21485</v>
      </c>
      <c r="C231" s="3" t="s">
        <v>243</v>
      </c>
      <c r="D231" s="9">
        <v>24</v>
      </c>
      <c r="E231" s="4">
        <v>40423</v>
      </c>
      <c r="F231" s="5">
        <v>0.42986111111111114</v>
      </c>
      <c r="G231" s="6">
        <v>4.25</v>
      </c>
      <c r="H231" s="3">
        <v>17511</v>
      </c>
      <c r="I231" s="3" t="s">
        <v>5</v>
      </c>
      <c r="J231" s="3" t="str">
        <f t="shared" si="9"/>
        <v>Sale</v>
      </c>
      <c r="K231" s="6">
        <f t="shared" si="10"/>
        <v>102</v>
      </c>
      <c r="L231" s="6">
        <f t="shared" si="11"/>
        <v>102</v>
      </c>
    </row>
    <row r="232" spans="1:12" x14ac:dyDescent="0.35">
      <c r="A232" s="3">
        <v>536390</v>
      </c>
      <c r="B232" s="3" t="s">
        <v>7</v>
      </c>
      <c r="C232" s="3" t="s">
        <v>71</v>
      </c>
      <c r="D232" s="9">
        <v>24</v>
      </c>
      <c r="E232" s="4">
        <v>40424</v>
      </c>
      <c r="F232" s="5">
        <v>0.42986111111111114</v>
      </c>
      <c r="G232" s="6">
        <v>3.39</v>
      </c>
      <c r="H232" s="3">
        <v>17511</v>
      </c>
      <c r="I232" s="3" t="s">
        <v>5</v>
      </c>
      <c r="J232" s="3" t="str">
        <f t="shared" si="9"/>
        <v>Sale</v>
      </c>
      <c r="K232" s="6">
        <f t="shared" si="10"/>
        <v>81.36</v>
      </c>
      <c r="L232" s="6">
        <f t="shared" si="11"/>
        <v>81.36</v>
      </c>
    </row>
    <row r="233" spans="1:12" x14ac:dyDescent="0.35">
      <c r="A233" s="3">
        <v>536390</v>
      </c>
      <c r="B233" s="3" t="s">
        <v>35</v>
      </c>
      <c r="C233" s="3" t="s">
        <v>244</v>
      </c>
      <c r="D233" s="9">
        <v>24</v>
      </c>
      <c r="E233" s="4">
        <v>40425</v>
      </c>
      <c r="F233" s="5">
        <v>0.42986111111111114</v>
      </c>
      <c r="G233" s="6">
        <v>3.75</v>
      </c>
      <c r="H233" s="3">
        <v>17511</v>
      </c>
      <c r="I233" s="3" t="s">
        <v>5</v>
      </c>
      <c r="J233" s="3" t="str">
        <f t="shared" si="9"/>
        <v>Sale</v>
      </c>
      <c r="K233" s="6">
        <f t="shared" si="10"/>
        <v>90</v>
      </c>
      <c r="L233" s="6">
        <f t="shared" si="11"/>
        <v>90</v>
      </c>
    </row>
    <row r="234" spans="1:12" x14ac:dyDescent="0.35">
      <c r="A234" s="3">
        <v>536390</v>
      </c>
      <c r="B234" s="3">
        <v>22174</v>
      </c>
      <c r="C234" s="3" t="s">
        <v>245</v>
      </c>
      <c r="D234" s="9">
        <v>48</v>
      </c>
      <c r="E234" s="4">
        <v>40426</v>
      </c>
      <c r="F234" s="5">
        <v>0.42986111111111114</v>
      </c>
      <c r="G234" s="6">
        <v>1.48</v>
      </c>
      <c r="H234" s="3">
        <v>17511</v>
      </c>
      <c r="I234" s="3" t="s">
        <v>5</v>
      </c>
      <c r="J234" s="3" t="str">
        <f t="shared" si="9"/>
        <v>Sale</v>
      </c>
      <c r="K234" s="6">
        <f t="shared" si="10"/>
        <v>71.039999999999992</v>
      </c>
      <c r="L234" s="6">
        <f t="shared" si="11"/>
        <v>71.039999999999992</v>
      </c>
    </row>
    <row r="235" spans="1:12" x14ac:dyDescent="0.35">
      <c r="A235" s="3">
        <v>536390</v>
      </c>
      <c r="B235" s="3">
        <v>22969</v>
      </c>
      <c r="C235" s="3" t="s">
        <v>217</v>
      </c>
      <c r="D235" s="9">
        <v>96</v>
      </c>
      <c r="E235" s="4">
        <v>40427</v>
      </c>
      <c r="F235" s="5">
        <v>0.42986111111111114</v>
      </c>
      <c r="G235" s="6">
        <v>1.25</v>
      </c>
      <c r="H235" s="3">
        <v>17511</v>
      </c>
      <c r="I235" s="3" t="s">
        <v>5</v>
      </c>
      <c r="J235" s="3" t="str">
        <f t="shared" si="9"/>
        <v>Sale</v>
      </c>
      <c r="K235" s="6">
        <f t="shared" si="10"/>
        <v>120</v>
      </c>
      <c r="L235" s="6">
        <f t="shared" si="11"/>
        <v>120</v>
      </c>
    </row>
    <row r="236" spans="1:12" x14ac:dyDescent="0.35">
      <c r="A236" s="3">
        <v>536390</v>
      </c>
      <c r="B236" s="3" t="s">
        <v>29</v>
      </c>
      <c r="C236" s="3" t="s">
        <v>207</v>
      </c>
      <c r="D236" s="9">
        <v>100</v>
      </c>
      <c r="E236" s="4">
        <v>40428</v>
      </c>
      <c r="F236" s="5">
        <v>0.42986111111111114</v>
      </c>
      <c r="G236" s="6">
        <v>1.65</v>
      </c>
      <c r="H236" s="3">
        <v>17511</v>
      </c>
      <c r="I236" s="3" t="s">
        <v>5</v>
      </c>
      <c r="J236" s="3" t="str">
        <f t="shared" si="9"/>
        <v>Sale</v>
      </c>
      <c r="K236" s="6">
        <f t="shared" si="10"/>
        <v>165</v>
      </c>
      <c r="L236" s="6">
        <f t="shared" si="11"/>
        <v>165</v>
      </c>
    </row>
    <row r="237" spans="1:12" x14ac:dyDescent="0.35">
      <c r="A237" s="3" t="s">
        <v>36</v>
      </c>
      <c r="B237" s="3">
        <v>22556</v>
      </c>
      <c r="C237" s="3" t="s">
        <v>246</v>
      </c>
      <c r="D237" s="9">
        <v>-12</v>
      </c>
      <c r="E237" s="4">
        <v>40429</v>
      </c>
      <c r="F237" s="5">
        <v>0.43333333333333335</v>
      </c>
      <c r="G237" s="6">
        <v>1.65</v>
      </c>
      <c r="H237" s="3">
        <v>17548</v>
      </c>
      <c r="I237" s="3" t="s">
        <v>5</v>
      </c>
      <c r="J237" s="3" t="str">
        <f t="shared" si="9"/>
        <v>Return</v>
      </c>
      <c r="K237" s="6">
        <f t="shared" si="10"/>
        <v>-19.799999999999997</v>
      </c>
      <c r="L237" s="6">
        <f t="shared" si="11"/>
        <v>19.799999999999997</v>
      </c>
    </row>
    <row r="238" spans="1:12" x14ac:dyDescent="0.35">
      <c r="A238" s="3" t="s">
        <v>36</v>
      </c>
      <c r="B238" s="3">
        <v>21984</v>
      </c>
      <c r="C238" s="3" t="s">
        <v>247</v>
      </c>
      <c r="D238" s="9">
        <v>-24</v>
      </c>
      <c r="E238" s="4">
        <v>40430</v>
      </c>
      <c r="F238" s="5">
        <v>0.43333333333333335</v>
      </c>
      <c r="G238" s="6">
        <v>0.28999999999999998</v>
      </c>
      <c r="H238" s="3">
        <v>17548</v>
      </c>
      <c r="I238" s="3" t="s">
        <v>5</v>
      </c>
      <c r="J238" s="3" t="str">
        <f t="shared" si="9"/>
        <v>Return</v>
      </c>
      <c r="K238" s="6">
        <f t="shared" si="10"/>
        <v>-6.9599999999999991</v>
      </c>
      <c r="L238" s="6">
        <f t="shared" si="11"/>
        <v>6.9599999999999991</v>
      </c>
    </row>
    <row r="239" spans="1:12" x14ac:dyDescent="0.35">
      <c r="A239" s="3" t="s">
        <v>36</v>
      </c>
      <c r="B239" s="3">
        <v>21983</v>
      </c>
      <c r="C239" s="3" t="s">
        <v>248</v>
      </c>
      <c r="D239" s="9">
        <v>-24</v>
      </c>
      <c r="E239" s="4">
        <v>40431</v>
      </c>
      <c r="F239" s="5">
        <v>0.43333333333333335</v>
      </c>
      <c r="G239" s="6">
        <v>0.28999999999999998</v>
      </c>
      <c r="H239" s="3">
        <v>17548</v>
      </c>
      <c r="I239" s="3" t="s">
        <v>5</v>
      </c>
      <c r="J239" s="3" t="str">
        <f t="shared" si="9"/>
        <v>Return</v>
      </c>
      <c r="K239" s="6">
        <f t="shared" si="10"/>
        <v>-6.9599999999999991</v>
      </c>
      <c r="L239" s="6">
        <f t="shared" si="11"/>
        <v>6.9599999999999991</v>
      </c>
    </row>
    <row r="240" spans="1:12" x14ac:dyDescent="0.35">
      <c r="A240" s="3" t="s">
        <v>36</v>
      </c>
      <c r="B240" s="3">
        <v>21980</v>
      </c>
      <c r="C240" s="3" t="s">
        <v>249</v>
      </c>
      <c r="D240" s="9">
        <v>-24</v>
      </c>
      <c r="E240" s="4">
        <v>40432</v>
      </c>
      <c r="F240" s="5">
        <v>0.43333333333333335</v>
      </c>
      <c r="G240" s="6">
        <v>0.28999999999999998</v>
      </c>
      <c r="H240" s="3">
        <v>17548</v>
      </c>
      <c r="I240" s="3" t="s">
        <v>5</v>
      </c>
      <c r="J240" s="3" t="str">
        <f t="shared" si="9"/>
        <v>Return</v>
      </c>
      <c r="K240" s="6">
        <f t="shared" si="10"/>
        <v>-6.9599999999999991</v>
      </c>
      <c r="L240" s="6">
        <f t="shared" si="11"/>
        <v>6.9599999999999991</v>
      </c>
    </row>
    <row r="241" spans="1:12" x14ac:dyDescent="0.35">
      <c r="A241" s="3" t="s">
        <v>36</v>
      </c>
      <c r="B241" s="3">
        <v>21484</v>
      </c>
      <c r="C241" s="3" t="s">
        <v>250</v>
      </c>
      <c r="D241" s="9">
        <v>-12</v>
      </c>
      <c r="E241" s="4">
        <v>40433</v>
      </c>
      <c r="F241" s="5">
        <v>0.43333333333333335</v>
      </c>
      <c r="G241" s="6">
        <v>3.45</v>
      </c>
      <c r="H241" s="3">
        <v>17548</v>
      </c>
      <c r="I241" s="3" t="s">
        <v>5</v>
      </c>
      <c r="J241" s="3" t="str">
        <f t="shared" si="9"/>
        <v>Return</v>
      </c>
      <c r="K241" s="6">
        <f t="shared" si="10"/>
        <v>-41.400000000000006</v>
      </c>
      <c r="L241" s="6">
        <f t="shared" si="11"/>
        <v>41.400000000000006</v>
      </c>
    </row>
    <row r="242" spans="1:12" x14ac:dyDescent="0.35">
      <c r="A242" s="3" t="s">
        <v>36</v>
      </c>
      <c r="B242" s="3">
        <v>22557</v>
      </c>
      <c r="C242" s="3" t="s">
        <v>251</v>
      </c>
      <c r="D242" s="9">
        <v>-12</v>
      </c>
      <c r="E242" s="4">
        <v>40434</v>
      </c>
      <c r="F242" s="5">
        <v>0.43333333333333335</v>
      </c>
      <c r="G242" s="6">
        <v>1.65</v>
      </c>
      <c r="H242" s="3">
        <v>17548</v>
      </c>
      <c r="I242" s="3" t="s">
        <v>5</v>
      </c>
      <c r="J242" s="3" t="str">
        <f t="shared" si="9"/>
        <v>Return</v>
      </c>
      <c r="K242" s="6">
        <f t="shared" si="10"/>
        <v>-19.799999999999997</v>
      </c>
      <c r="L242" s="6">
        <f t="shared" si="11"/>
        <v>19.799999999999997</v>
      </c>
    </row>
    <row r="243" spans="1:12" x14ac:dyDescent="0.35">
      <c r="A243" s="3" t="s">
        <v>36</v>
      </c>
      <c r="B243" s="3">
        <v>22553</v>
      </c>
      <c r="C243" s="3" t="s">
        <v>252</v>
      </c>
      <c r="D243" s="9">
        <v>-24</v>
      </c>
      <c r="E243" s="4">
        <v>40435</v>
      </c>
      <c r="F243" s="5">
        <v>0.43333333333333335</v>
      </c>
      <c r="G243" s="6">
        <v>1.65</v>
      </c>
      <c r="H243" s="3">
        <v>17548</v>
      </c>
      <c r="I243" s="3" t="s">
        <v>5</v>
      </c>
      <c r="J243" s="3" t="str">
        <f t="shared" si="9"/>
        <v>Return</v>
      </c>
      <c r="K243" s="6">
        <f t="shared" si="10"/>
        <v>-39.599999999999994</v>
      </c>
      <c r="L243" s="6">
        <f t="shared" si="11"/>
        <v>39.599999999999994</v>
      </c>
    </row>
    <row r="244" spans="1:12" x14ac:dyDescent="0.35">
      <c r="A244" s="3">
        <v>536392</v>
      </c>
      <c r="B244" s="3">
        <v>22150</v>
      </c>
      <c r="C244" s="3" t="s">
        <v>253</v>
      </c>
      <c r="D244" s="9">
        <v>6</v>
      </c>
      <c r="E244" s="4">
        <v>40436</v>
      </c>
      <c r="F244" s="5">
        <v>0.43680555555555556</v>
      </c>
      <c r="G244" s="6">
        <v>1.95</v>
      </c>
      <c r="H244" s="3">
        <v>13705</v>
      </c>
      <c r="I244" s="3" t="s">
        <v>5</v>
      </c>
      <c r="J244" s="3" t="str">
        <f t="shared" si="9"/>
        <v>Sale</v>
      </c>
      <c r="K244" s="6">
        <f t="shared" si="10"/>
        <v>11.7</v>
      </c>
      <c r="L244" s="6">
        <f t="shared" si="11"/>
        <v>11.7</v>
      </c>
    </row>
    <row r="245" spans="1:12" x14ac:dyDescent="0.35">
      <c r="A245" s="3">
        <v>536392</v>
      </c>
      <c r="B245" s="3">
        <v>22619</v>
      </c>
      <c r="C245" s="3" t="s">
        <v>254</v>
      </c>
      <c r="D245" s="9">
        <v>4</v>
      </c>
      <c r="E245" s="4">
        <v>40437</v>
      </c>
      <c r="F245" s="5">
        <v>0.43680555555555556</v>
      </c>
      <c r="G245" s="6">
        <v>3.75</v>
      </c>
      <c r="H245" s="3">
        <v>13705</v>
      </c>
      <c r="I245" s="3" t="s">
        <v>5</v>
      </c>
      <c r="J245" s="3" t="str">
        <f t="shared" si="9"/>
        <v>Sale</v>
      </c>
      <c r="K245" s="6">
        <f t="shared" si="10"/>
        <v>15</v>
      </c>
      <c r="L245" s="6">
        <f t="shared" si="11"/>
        <v>15</v>
      </c>
    </row>
    <row r="246" spans="1:12" x14ac:dyDescent="0.35">
      <c r="A246" s="3">
        <v>536392</v>
      </c>
      <c r="B246" s="3">
        <v>21891</v>
      </c>
      <c r="C246" s="3" t="s">
        <v>255</v>
      </c>
      <c r="D246" s="9">
        <v>12</v>
      </c>
      <c r="E246" s="4">
        <v>40438</v>
      </c>
      <c r="F246" s="5">
        <v>0.43680555555555556</v>
      </c>
      <c r="G246" s="6">
        <v>1.25</v>
      </c>
      <c r="H246" s="3">
        <v>13705</v>
      </c>
      <c r="I246" s="3" t="s">
        <v>5</v>
      </c>
      <c r="J246" s="3" t="str">
        <f t="shared" si="9"/>
        <v>Sale</v>
      </c>
      <c r="K246" s="6">
        <f t="shared" si="10"/>
        <v>15</v>
      </c>
      <c r="L246" s="6">
        <f t="shared" si="11"/>
        <v>15</v>
      </c>
    </row>
    <row r="247" spans="1:12" x14ac:dyDescent="0.35">
      <c r="A247" s="3">
        <v>536392</v>
      </c>
      <c r="B247" s="3">
        <v>21889</v>
      </c>
      <c r="C247" s="3" t="s">
        <v>256</v>
      </c>
      <c r="D247" s="9">
        <v>12</v>
      </c>
      <c r="E247" s="4">
        <v>40439</v>
      </c>
      <c r="F247" s="5">
        <v>0.43680555555555556</v>
      </c>
      <c r="G247" s="6">
        <v>1.25</v>
      </c>
      <c r="H247" s="3">
        <v>13705</v>
      </c>
      <c r="I247" s="3" t="s">
        <v>5</v>
      </c>
      <c r="J247" s="3" t="str">
        <f t="shared" si="9"/>
        <v>Sale</v>
      </c>
      <c r="K247" s="6">
        <f t="shared" si="10"/>
        <v>15</v>
      </c>
      <c r="L247" s="6">
        <f t="shared" si="11"/>
        <v>15</v>
      </c>
    </row>
    <row r="248" spans="1:12" x14ac:dyDescent="0.35">
      <c r="A248" s="3">
        <v>536392</v>
      </c>
      <c r="B248" s="3">
        <v>22827</v>
      </c>
      <c r="C248" s="3" t="s">
        <v>257</v>
      </c>
      <c r="D248" s="9">
        <v>1</v>
      </c>
      <c r="E248" s="4">
        <v>40440</v>
      </c>
      <c r="F248" s="5">
        <v>0.43680555555555556</v>
      </c>
      <c r="G248" s="6">
        <v>165</v>
      </c>
      <c r="H248" s="3">
        <v>13705</v>
      </c>
      <c r="I248" s="3" t="s">
        <v>5</v>
      </c>
      <c r="J248" s="3" t="str">
        <f t="shared" si="9"/>
        <v>Sale</v>
      </c>
      <c r="K248" s="6">
        <f t="shared" si="10"/>
        <v>165</v>
      </c>
      <c r="L248" s="6">
        <f t="shared" si="11"/>
        <v>165</v>
      </c>
    </row>
    <row r="249" spans="1:12" x14ac:dyDescent="0.35">
      <c r="A249" s="3">
        <v>536392</v>
      </c>
      <c r="B249" s="3">
        <v>22127</v>
      </c>
      <c r="C249" s="3" t="s">
        <v>258</v>
      </c>
      <c r="D249" s="9">
        <v>12</v>
      </c>
      <c r="E249" s="4">
        <v>40441</v>
      </c>
      <c r="F249" s="5">
        <v>0.43680555555555556</v>
      </c>
      <c r="G249" s="6">
        <v>1.25</v>
      </c>
      <c r="H249" s="3">
        <v>13705</v>
      </c>
      <c r="I249" s="3" t="s">
        <v>5</v>
      </c>
      <c r="J249" s="3" t="str">
        <f t="shared" si="9"/>
        <v>Sale</v>
      </c>
      <c r="K249" s="6">
        <f t="shared" si="10"/>
        <v>15</v>
      </c>
      <c r="L249" s="6">
        <f t="shared" si="11"/>
        <v>15</v>
      </c>
    </row>
    <row r="250" spans="1:12" x14ac:dyDescent="0.35">
      <c r="A250" s="3">
        <v>536392</v>
      </c>
      <c r="B250" s="3">
        <v>22128</v>
      </c>
      <c r="C250" s="3" t="s">
        <v>259</v>
      </c>
      <c r="D250" s="9">
        <v>12</v>
      </c>
      <c r="E250" s="4">
        <v>40442</v>
      </c>
      <c r="F250" s="5">
        <v>0.43680555555555556</v>
      </c>
      <c r="G250" s="6">
        <v>1.25</v>
      </c>
      <c r="H250" s="3">
        <v>13705</v>
      </c>
      <c r="I250" s="3" t="s">
        <v>5</v>
      </c>
      <c r="J250" s="3" t="str">
        <f t="shared" si="9"/>
        <v>Sale</v>
      </c>
      <c r="K250" s="6">
        <f t="shared" si="10"/>
        <v>15</v>
      </c>
      <c r="L250" s="6">
        <f t="shared" si="11"/>
        <v>15</v>
      </c>
    </row>
    <row r="251" spans="1:12" x14ac:dyDescent="0.35">
      <c r="A251" s="3">
        <v>536392</v>
      </c>
      <c r="B251" s="3">
        <v>22502</v>
      </c>
      <c r="C251" s="3" t="s">
        <v>260</v>
      </c>
      <c r="D251" s="9">
        <v>4</v>
      </c>
      <c r="E251" s="4">
        <v>40443</v>
      </c>
      <c r="F251" s="5">
        <v>0.43680555555555556</v>
      </c>
      <c r="G251" s="6">
        <v>5.95</v>
      </c>
      <c r="H251" s="3">
        <v>13705</v>
      </c>
      <c r="I251" s="3" t="s">
        <v>5</v>
      </c>
      <c r="J251" s="3" t="str">
        <f t="shared" si="9"/>
        <v>Sale</v>
      </c>
      <c r="K251" s="6">
        <f t="shared" si="10"/>
        <v>23.8</v>
      </c>
      <c r="L251" s="6">
        <f t="shared" si="11"/>
        <v>23.8</v>
      </c>
    </row>
    <row r="252" spans="1:12" x14ac:dyDescent="0.35">
      <c r="A252" s="3">
        <v>536392</v>
      </c>
      <c r="B252" s="3">
        <v>84879</v>
      </c>
      <c r="C252" s="3" t="s">
        <v>77</v>
      </c>
      <c r="D252" s="9">
        <v>16</v>
      </c>
      <c r="E252" s="4">
        <v>40444</v>
      </c>
      <c r="F252" s="5">
        <v>0.43680555555555556</v>
      </c>
      <c r="G252" s="6">
        <v>1.69</v>
      </c>
      <c r="H252" s="3">
        <v>13705</v>
      </c>
      <c r="I252" s="3" t="s">
        <v>5</v>
      </c>
      <c r="J252" s="3" t="str">
        <f t="shared" si="9"/>
        <v>Sale</v>
      </c>
      <c r="K252" s="6">
        <f t="shared" si="10"/>
        <v>27.04</v>
      </c>
      <c r="L252" s="6">
        <f t="shared" si="11"/>
        <v>27.04</v>
      </c>
    </row>
    <row r="253" spans="1:12" x14ac:dyDescent="0.35">
      <c r="A253" s="3">
        <v>536392</v>
      </c>
      <c r="B253" s="3">
        <v>22338</v>
      </c>
      <c r="C253" s="3" t="s">
        <v>261</v>
      </c>
      <c r="D253" s="9">
        <v>24</v>
      </c>
      <c r="E253" s="4">
        <v>40445</v>
      </c>
      <c r="F253" s="5">
        <v>0.43680555555555556</v>
      </c>
      <c r="G253" s="6">
        <v>0.65</v>
      </c>
      <c r="H253" s="3">
        <v>13705</v>
      </c>
      <c r="I253" s="3" t="s">
        <v>5</v>
      </c>
      <c r="J253" s="3" t="str">
        <f t="shared" si="9"/>
        <v>Sale</v>
      </c>
      <c r="K253" s="6">
        <f t="shared" si="10"/>
        <v>15.600000000000001</v>
      </c>
      <c r="L253" s="6">
        <f t="shared" si="11"/>
        <v>15.600000000000001</v>
      </c>
    </row>
    <row r="254" spans="1:12" x14ac:dyDescent="0.35">
      <c r="A254" s="3">
        <v>536393</v>
      </c>
      <c r="B254" s="3">
        <v>22180</v>
      </c>
      <c r="C254" s="3" t="s">
        <v>262</v>
      </c>
      <c r="D254" s="9">
        <v>8</v>
      </c>
      <c r="E254" s="4">
        <v>40446</v>
      </c>
      <c r="F254" s="5">
        <v>0.44236111111111109</v>
      </c>
      <c r="G254" s="6">
        <v>9.9499999999999993</v>
      </c>
      <c r="H254" s="3">
        <v>13747</v>
      </c>
      <c r="I254" s="3" t="s">
        <v>5</v>
      </c>
      <c r="J254" s="3" t="str">
        <f t="shared" si="9"/>
        <v>Sale</v>
      </c>
      <c r="K254" s="6">
        <f t="shared" si="10"/>
        <v>79.599999999999994</v>
      </c>
      <c r="L254" s="6">
        <f t="shared" si="11"/>
        <v>79.599999999999994</v>
      </c>
    </row>
    <row r="255" spans="1:12" x14ac:dyDescent="0.35">
      <c r="A255" s="3">
        <v>536394</v>
      </c>
      <c r="B255" s="3">
        <v>21506</v>
      </c>
      <c r="C255" s="3" t="s">
        <v>263</v>
      </c>
      <c r="D255" s="9">
        <v>24</v>
      </c>
      <c r="E255" s="4">
        <v>40447</v>
      </c>
      <c r="F255" s="5">
        <v>0.44374999999999998</v>
      </c>
      <c r="G255" s="6">
        <v>0.42</v>
      </c>
      <c r="H255" s="3">
        <v>13408</v>
      </c>
      <c r="I255" s="3" t="s">
        <v>5</v>
      </c>
      <c r="J255" s="3" t="str">
        <f t="shared" si="9"/>
        <v>Sale</v>
      </c>
      <c r="K255" s="6">
        <f t="shared" si="10"/>
        <v>10.08</v>
      </c>
      <c r="L255" s="6">
        <f t="shared" si="11"/>
        <v>10.08</v>
      </c>
    </row>
    <row r="256" spans="1:12" x14ac:dyDescent="0.35">
      <c r="A256" s="3">
        <v>536394</v>
      </c>
      <c r="B256" s="3">
        <v>22633</v>
      </c>
      <c r="C256" s="3" t="s">
        <v>75</v>
      </c>
      <c r="D256" s="9">
        <v>96</v>
      </c>
      <c r="E256" s="4">
        <v>40448</v>
      </c>
      <c r="F256" s="5">
        <v>0.44374999999999998</v>
      </c>
      <c r="G256" s="6">
        <v>1.85</v>
      </c>
      <c r="H256" s="3">
        <v>13408</v>
      </c>
      <c r="I256" s="3" t="s">
        <v>5</v>
      </c>
      <c r="J256" s="3" t="str">
        <f t="shared" si="9"/>
        <v>Sale</v>
      </c>
      <c r="K256" s="6">
        <f t="shared" si="10"/>
        <v>177.60000000000002</v>
      </c>
      <c r="L256" s="6">
        <f t="shared" si="11"/>
        <v>177.60000000000002</v>
      </c>
    </row>
    <row r="257" spans="1:12" x14ac:dyDescent="0.35">
      <c r="A257" s="3">
        <v>536394</v>
      </c>
      <c r="B257" s="3">
        <v>22866</v>
      </c>
      <c r="C257" s="3" t="s">
        <v>264</v>
      </c>
      <c r="D257" s="9">
        <v>96</v>
      </c>
      <c r="E257" s="4">
        <v>40449</v>
      </c>
      <c r="F257" s="5">
        <v>0.44374999999999998</v>
      </c>
      <c r="G257" s="6">
        <v>1.85</v>
      </c>
      <c r="H257" s="3">
        <v>13408</v>
      </c>
      <c r="I257" s="3" t="s">
        <v>5</v>
      </c>
      <c r="J257" s="3" t="str">
        <f t="shared" si="9"/>
        <v>Sale</v>
      </c>
      <c r="K257" s="6">
        <f t="shared" si="10"/>
        <v>177.60000000000002</v>
      </c>
      <c r="L257" s="6">
        <f t="shared" si="11"/>
        <v>177.60000000000002</v>
      </c>
    </row>
    <row r="258" spans="1:12" x14ac:dyDescent="0.35">
      <c r="A258" s="3">
        <v>536394</v>
      </c>
      <c r="B258" s="3">
        <v>22865</v>
      </c>
      <c r="C258" s="3" t="s">
        <v>265</v>
      </c>
      <c r="D258" s="9">
        <v>96</v>
      </c>
      <c r="E258" s="4">
        <v>40450</v>
      </c>
      <c r="F258" s="5">
        <v>0.44374999999999998</v>
      </c>
      <c r="G258" s="6">
        <v>1.85</v>
      </c>
      <c r="H258" s="3">
        <v>13408</v>
      </c>
      <c r="I258" s="3" t="s">
        <v>5</v>
      </c>
      <c r="J258" s="3" t="str">
        <f t="shared" ref="J258:J321" si="12">IF(D258&lt;1,"Return","Sale")</f>
        <v>Sale</v>
      </c>
      <c r="K258" s="6">
        <f t="shared" ref="K258:K321" si="13">D258*G258</f>
        <v>177.60000000000002</v>
      </c>
      <c r="L258" s="6">
        <f t="shared" si="11"/>
        <v>177.60000000000002</v>
      </c>
    </row>
    <row r="259" spans="1:12" x14ac:dyDescent="0.35">
      <c r="A259" s="3">
        <v>536394</v>
      </c>
      <c r="B259" s="3">
        <v>22632</v>
      </c>
      <c r="C259" s="3" t="s">
        <v>266</v>
      </c>
      <c r="D259" s="9">
        <v>96</v>
      </c>
      <c r="E259" s="4">
        <v>40451</v>
      </c>
      <c r="F259" s="5">
        <v>0.44374999999999998</v>
      </c>
      <c r="G259" s="6">
        <v>1.85</v>
      </c>
      <c r="H259" s="3">
        <v>13408</v>
      </c>
      <c r="I259" s="3" t="s">
        <v>5</v>
      </c>
      <c r="J259" s="3" t="str">
        <f t="shared" si="12"/>
        <v>Sale</v>
      </c>
      <c r="K259" s="6">
        <f t="shared" si="13"/>
        <v>177.60000000000002</v>
      </c>
      <c r="L259" s="6">
        <f t="shared" ref="L259:L322" si="14" xml:space="preserve"> ABS(K259)</f>
        <v>177.60000000000002</v>
      </c>
    </row>
    <row r="260" spans="1:12" x14ac:dyDescent="0.35">
      <c r="A260" s="3">
        <v>536394</v>
      </c>
      <c r="B260" s="3">
        <v>21485</v>
      </c>
      <c r="C260" s="3" t="s">
        <v>243</v>
      </c>
      <c r="D260" s="9">
        <v>12</v>
      </c>
      <c r="E260" s="4">
        <v>40452</v>
      </c>
      <c r="F260" s="5">
        <v>0.44374999999999998</v>
      </c>
      <c r="G260" s="6">
        <v>4.95</v>
      </c>
      <c r="H260" s="3">
        <v>13408</v>
      </c>
      <c r="I260" s="3" t="s">
        <v>5</v>
      </c>
      <c r="J260" s="3" t="str">
        <f t="shared" si="12"/>
        <v>Sale</v>
      </c>
      <c r="K260" s="6">
        <f t="shared" si="13"/>
        <v>59.400000000000006</v>
      </c>
      <c r="L260" s="6">
        <f t="shared" si="14"/>
        <v>59.400000000000006</v>
      </c>
    </row>
    <row r="261" spans="1:12" x14ac:dyDescent="0.35">
      <c r="A261" s="3">
        <v>536394</v>
      </c>
      <c r="B261" s="3">
        <v>22349</v>
      </c>
      <c r="C261" s="3" t="s">
        <v>267</v>
      </c>
      <c r="D261" s="9">
        <v>12</v>
      </c>
      <c r="E261" s="4">
        <v>40453</v>
      </c>
      <c r="F261" s="5">
        <v>0.44374999999999998</v>
      </c>
      <c r="G261" s="6">
        <v>3.75</v>
      </c>
      <c r="H261" s="3">
        <v>13408</v>
      </c>
      <c r="I261" s="3" t="s">
        <v>5</v>
      </c>
      <c r="J261" s="3" t="str">
        <f t="shared" si="12"/>
        <v>Sale</v>
      </c>
      <c r="K261" s="6">
        <f t="shared" si="13"/>
        <v>45</v>
      </c>
      <c r="L261" s="6">
        <f t="shared" si="14"/>
        <v>45</v>
      </c>
    </row>
    <row r="262" spans="1:12" x14ac:dyDescent="0.35">
      <c r="A262" s="3">
        <v>536394</v>
      </c>
      <c r="B262" s="3">
        <v>22558</v>
      </c>
      <c r="C262" s="3" t="s">
        <v>268</v>
      </c>
      <c r="D262" s="9">
        <v>48</v>
      </c>
      <c r="E262" s="4">
        <v>40454</v>
      </c>
      <c r="F262" s="5">
        <v>0.44374999999999998</v>
      </c>
      <c r="G262" s="6">
        <v>1.25</v>
      </c>
      <c r="H262" s="3">
        <v>13408</v>
      </c>
      <c r="I262" s="3" t="s">
        <v>5</v>
      </c>
      <c r="J262" s="3" t="str">
        <f t="shared" si="12"/>
        <v>Sale</v>
      </c>
      <c r="K262" s="6">
        <f t="shared" si="13"/>
        <v>60</v>
      </c>
      <c r="L262" s="6">
        <f t="shared" si="14"/>
        <v>60</v>
      </c>
    </row>
    <row r="263" spans="1:12" x14ac:dyDescent="0.35">
      <c r="A263" s="3">
        <v>536394</v>
      </c>
      <c r="B263" s="3">
        <v>85152</v>
      </c>
      <c r="C263" s="3" t="s">
        <v>269</v>
      </c>
      <c r="D263" s="9">
        <v>12</v>
      </c>
      <c r="E263" s="4">
        <v>40455</v>
      </c>
      <c r="F263" s="5">
        <v>0.44374999999999998</v>
      </c>
      <c r="G263" s="6">
        <v>2.1</v>
      </c>
      <c r="H263" s="3">
        <v>13408</v>
      </c>
      <c r="I263" s="3" t="s">
        <v>5</v>
      </c>
      <c r="J263" s="3" t="str">
        <f t="shared" si="12"/>
        <v>Sale</v>
      </c>
      <c r="K263" s="6">
        <f t="shared" si="13"/>
        <v>25.200000000000003</v>
      </c>
      <c r="L263" s="6">
        <f t="shared" si="14"/>
        <v>25.200000000000003</v>
      </c>
    </row>
    <row r="264" spans="1:12" x14ac:dyDescent="0.35">
      <c r="A264" s="3">
        <v>536394</v>
      </c>
      <c r="B264" s="3" t="s">
        <v>4</v>
      </c>
      <c r="C264" s="3" t="s">
        <v>68</v>
      </c>
      <c r="D264" s="9">
        <v>32</v>
      </c>
      <c r="E264" s="4">
        <v>40456</v>
      </c>
      <c r="F264" s="5">
        <v>0.44374999999999998</v>
      </c>
      <c r="G264" s="6">
        <v>2.5499999999999998</v>
      </c>
      <c r="H264" s="3">
        <v>13408</v>
      </c>
      <c r="I264" s="3" t="s">
        <v>5</v>
      </c>
      <c r="J264" s="3" t="str">
        <f t="shared" si="12"/>
        <v>Sale</v>
      </c>
      <c r="K264" s="6">
        <f t="shared" si="13"/>
        <v>81.599999999999994</v>
      </c>
      <c r="L264" s="6">
        <f t="shared" si="14"/>
        <v>81.599999999999994</v>
      </c>
    </row>
    <row r="265" spans="1:12" x14ac:dyDescent="0.35">
      <c r="A265" s="3">
        <v>536394</v>
      </c>
      <c r="B265" s="3">
        <v>22652</v>
      </c>
      <c r="C265" s="3" t="s">
        <v>270</v>
      </c>
      <c r="D265" s="9">
        <v>20</v>
      </c>
      <c r="E265" s="4">
        <v>40457</v>
      </c>
      <c r="F265" s="5">
        <v>0.44374999999999998</v>
      </c>
      <c r="G265" s="6">
        <v>1.65</v>
      </c>
      <c r="H265" s="3">
        <v>13408</v>
      </c>
      <c r="I265" s="3" t="s">
        <v>5</v>
      </c>
      <c r="J265" s="3" t="str">
        <f t="shared" si="12"/>
        <v>Sale</v>
      </c>
      <c r="K265" s="6">
        <f t="shared" si="13"/>
        <v>33</v>
      </c>
      <c r="L265" s="6">
        <f t="shared" si="14"/>
        <v>33</v>
      </c>
    </row>
    <row r="266" spans="1:12" x14ac:dyDescent="0.35">
      <c r="A266" s="3">
        <v>536395</v>
      </c>
      <c r="B266" s="3">
        <v>22188</v>
      </c>
      <c r="C266" s="3" t="s">
        <v>271</v>
      </c>
      <c r="D266" s="9">
        <v>8</v>
      </c>
      <c r="E266" s="4">
        <v>40458</v>
      </c>
      <c r="F266" s="5">
        <v>0.44930555555555557</v>
      </c>
      <c r="G266" s="6">
        <v>3.95</v>
      </c>
      <c r="H266" s="3">
        <v>13767</v>
      </c>
      <c r="I266" s="3" t="s">
        <v>5</v>
      </c>
      <c r="J266" s="3" t="str">
        <f t="shared" si="12"/>
        <v>Sale</v>
      </c>
      <c r="K266" s="6">
        <f t="shared" si="13"/>
        <v>31.6</v>
      </c>
      <c r="L266" s="6">
        <f t="shared" si="14"/>
        <v>31.6</v>
      </c>
    </row>
    <row r="267" spans="1:12" x14ac:dyDescent="0.35">
      <c r="A267" s="3">
        <v>536395</v>
      </c>
      <c r="B267" s="3">
        <v>84879</v>
      </c>
      <c r="C267" s="3" t="s">
        <v>77</v>
      </c>
      <c r="D267" s="9">
        <v>32</v>
      </c>
      <c r="E267" s="4">
        <v>40459</v>
      </c>
      <c r="F267" s="5">
        <v>0.44930555555555557</v>
      </c>
      <c r="G267" s="6">
        <v>1.69</v>
      </c>
      <c r="H267" s="3">
        <v>13767</v>
      </c>
      <c r="I267" s="3" t="s">
        <v>5</v>
      </c>
      <c r="J267" s="3" t="str">
        <f t="shared" si="12"/>
        <v>Sale</v>
      </c>
      <c r="K267" s="6">
        <f t="shared" si="13"/>
        <v>54.08</v>
      </c>
      <c r="L267" s="6">
        <f t="shared" si="14"/>
        <v>54.08</v>
      </c>
    </row>
    <row r="268" spans="1:12" x14ac:dyDescent="0.35">
      <c r="A268" s="3">
        <v>536395</v>
      </c>
      <c r="B268" s="3">
        <v>21977</v>
      </c>
      <c r="C268" s="3" t="s">
        <v>139</v>
      </c>
      <c r="D268" s="9">
        <v>24</v>
      </c>
      <c r="E268" s="4">
        <v>40460</v>
      </c>
      <c r="F268" s="5">
        <v>0.44930555555555557</v>
      </c>
      <c r="G268" s="6">
        <v>0.55000000000000004</v>
      </c>
      <c r="H268" s="3">
        <v>13767</v>
      </c>
      <c r="I268" s="3" t="s">
        <v>5</v>
      </c>
      <c r="J268" s="3" t="str">
        <f t="shared" si="12"/>
        <v>Sale</v>
      </c>
      <c r="K268" s="6">
        <f t="shared" si="13"/>
        <v>13.200000000000001</v>
      </c>
      <c r="L268" s="6">
        <f t="shared" si="14"/>
        <v>13.200000000000001</v>
      </c>
    </row>
    <row r="269" spans="1:12" x14ac:dyDescent="0.35">
      <c r="A269" s="3">
        <v>536395</v>
      </c>
      <c r="B269" s="3">
        <v>84991</v>
      </c>
      <c r="C269" s="3" t="s">
        <v>140</v>
      </c>
      <c r="D269" s="9">
        <v>24</v>
      </c>
      <c r="E269" s="4">
        <v>40461</v>
      </c>
      <c r="F269" s="5">
        <v>0.44930555555555557</v>
      </c>
      <c r="G269" s="6">
        <v>0.55000000000000004</v>
      </c>
      <c r="H269" s="3">
        <v>13767</v>
      </c>
      <c r="I269" s="3" t="s">
        <v>5</v>
      </c>
      <c r="J269" s="3" t="str">
        <f t="shared" si="12"/>
        <v>Sale</v>
      </c>
      <c r="K269" s="6">
        <f t="shared" si="13"/>
        <v>13.200000000000001</v>
      </c>
      <c r="L269" s="6">
        <f t="shared" si="14"/>
        <v>13.200000000000001</v>
      </c>
    </row>
    <row r="270" spans="1:12" x14ac:dyDescent="0.35">
      <c r="A270" s="3">
        <v>536395</v>
      </c>
      <c r="B270" s="3">
        <v>21212</v>
      </c>
      <c r="C270" s="3" t="s">
        <v>137</v>
      </c>
      <c r="D270" s="9">
        <v>24</v>
      </c>
      <c r="E270" s="4">
        <v>40462</v>
      </c>
      <c r="F270" s="5">
        <v>0.44930555555555557</v>
      </c>
      <c r="G270" s="6">
        <v>0.55000000000000004</v>
      </c>
      <c r="H270" s="3">
        <v>13767</v>
      </c>
      <c r="I270" s="3" t="s">
        <v>5</v>
      </c>
      <c r="J270" s="3" t="str">
        <f t="shared" si="12"/>
        <v>Sale</v>
      </c>
      <c r="K270" s="6">
        <f t="shared" si="13"/>
        <v>13.200000000000001</v>
      </c>
      <c r="L270" s="6">
        <f t="shared" si="14"/>
        <v>13.200000000000001</v>
      </c>
    </row>
    <row r="271" spans="1:12" x14ac:dyDescent="0.35">
      <c r="A271" s="3">
        <v>536395</v>
      </c>
      <c r="B271" s="3">
        <v>21484</v>
      </c>
      <c r="C271" s="3" t="s">
        <v>250</v>
      </c>
      <c r="D271" s="9">
        <v>8</v>
      </c>
      <c r="E271" s="4">
        <v>40463</v>
      </c>
      <c r="F271" s="5">
        <v>0.44930555555555557</v>
      </c>
      <c r="G271" s="6">
        <v>3.45</v>
      </c>
      <c r="H271" s="3">
        <v>13767</v>
      </c>
      <c r="I271" s="3" t="s">
        <v>5</v>
      </c>
      <c r="J271" s="3" t="str">
        <f t="shared" si="12"/>
        <v>Sale</v>
      </c>
      <c r="K271" s="6">
        <f t="shared" si="13"/>
        <v>27.6</v>
      </c>
      <c r="L271" s="6">
        <f t="shared" si="14"/>
        <v>27.6</v>
      </c>
    </row>
    <row r="272" spans="1:12" x14ac:dyDescent="0.35">
      <c r="A272" s="3">
        <v>536395</v>
      </c>
      <c r="B272" s="3">
        <v>21314</v>
      </c>
      <c r="C272" s="3" t="s">
        <v>272</v>
      </c>
      <c r="D272" s="9">
        <v>8</v>
      </c>
      <c r="E272" s="4">
        <v>40464</v>
      </c>
      <c r="F272" s="5">
        <v>0.44930555555555557</v>
      </c>
      <c r="G272" s="6">
        <v>2.1</v>
      </c>
      <c r="H272" s="3">
        <v>13767</v>
      </c>
      <c r="I272" s="3" t="s">
        <v>5</v>
      </c>
      <c r="J272" s="3" t="str">
        <f t="shared" si="12"/>
        <v>Sale</v>
      </c>
      <c r="K272" s="6">
        <f t="shared" si="13"/>
        <v>16.8</v>
      </c>
      <c r="L272" s="6">
        <f t="shared" si="14"/>
        <v>16.8</v>
      </c>
    </row>
    <row r="273" spans="1:12" x14ac:dyDescent="0.35">
      <c r="A273" s="3">
        <v>536395</v>
      </c>
      <c r="B273" s="3">
        <v>22730</v>
      </c>
      <c r="C273" s="3" t="s">
        <v>273</v>
      </c>
      <c r="D273" s="9">
        <v>4</v>
      </c>
      <c r="E273" s="4">
        <v>40465</v>
      </c>
      <c r="F273" s="5">
        <v>0.44930555555555557</v>
      </c>
      <c r="G273" s="6">
        <v>3.75</v>
      </c>
      <c r="H273" s="3">
        <v>13767</v>
      </c>
      <c r="I273" s="3" t="s">
        <v>5</v>
      </c>
      <c r="J273" s="3" t="str">
        <f t="shared" si="12"/>
        <v>Sale</v>
      </c>
      <c r="K273" s="6">
        <f t="shared" si="13"/>
        <v>15</v>
      </c>
      <c r="L273" s="6">
        <f t="shared" si="14"/>
        <v>15</v>
      </c>
    </row>
    <row r="274" spans="1:12" x14ac:dyDescent="0.35">
      <c r="A274" s="3">
        <v>536395</v>
      </c>
      <c r="B274" s="3">
        <v>22727</v>
      </c>
      <c r="C274" s="3" t="s">
        <v>95</v>
      </c>
      <c r="D274" s="9">
        <v>8</v>
      </c>
      <c r="E274" s="4">
        <v>40466</v>
      </c>
      <c r="F274" s="5">
        <v>0.44930555555555557</v>
      </c>
      <c r="G274" s="6">
        <v>3.75</v>
      </c>
      <c r="H274" s="3">
        <v>13767</v>
      </c>
      <c r="I274" s="3" t="s">
        <v>5</v>
      </c>
      <c r="J274" s="3" t="str">
        <f t="shared" si="12"/>
        <v>Sale</v>
      </c>
      <c r="K274" s="6">
        <f t="shared" si="13"/>
        <v>30</v>
      </c>
      <c r="L274" s="6">
        <f t="shared" si="14"/>
        <v>30</v>
      </c>
    </row>
    <row r="275" spans="1:12" x14ac:dyDescent="0.35">
      <c r="A275" s="3">
        <v>536395</v>
      </c>
      <c r="B275" s="3">
        <v>22729</v>
      </c>
      <c r="C275" s="3" t="s">
        <v>274</v>
      </c>
      <c r="D275" s="9">
        <v>8</v>
      </c>
      <c r="E275" s="4">
        <v>40467</v>
      </c>
      <c r="F275" s="5">
        <v>0.44930555555555557</v>
      </c>
      <c r="G275" s="6">
        <v>3.75</v>
      </c>
      <c r="H275" s="3">
        <v>13767</v>
      </c>
      <c r="I275" s="3" t="s">
        <v>5</v>
      </c>
      <c r="J275" s="3" t="str">
        <f t="shared" si="12"/>
        <v>Sale</v>
      </c>
      <c r="K275" s="6">
        <f t="shared" si="13"/>
        <v>30</v>
      </c>
      <c r="L275" s="6">
        <f t="shared" si="14"/>
        <v>30</v>
      </c>
    </row>
    <row r="276" spans="1:12" x14ac:dyDescent="0.35">
      <c r="A276" s="3">
        <v>536395</v>
      </c>
      <c r="B276" s="3">
        <v>22726</v>
      </c>
      <c r="C276" s="3" t="s">
        <v>96</v>
      </c>
      <c r="D276" s="9">
        <v>8</v>
      </c>
      <c r="E276" s="4">
        <v>40468</v>
      </c>
      <c r="F276" s="5">
        <v>0.44930555555555557</v>
      </c>
      <c r="G276" s="6">
        <v>3.75</v>
      </c>
      <c r="H276" s="3">
        <v>13767</v>
      </c>
      <c r="I276" s="3" t="s">
        <v>5</v>
      </c>
      <c r="J276" s="3" t="str">
        <f t="shared" si="12"/>
        <v>Sale</v>
      </c>
      <c r="K276" s="6">
        <f t="shared" si="13"/>
        <v>30</v>
      </c>
      <c r="L276" s="6">
        <f t="shared" si="14"/>
        <v>30</v>
      </c>
    </row>
    <row r="277" spans="1:12" x14ac:dyDescent="0.35">
      <c r="A277" s="3">
        <v>536395</v>
      </c>
      <c r="B277" s="3">
        <v>22114</v>
      </c>
      <c r="C277" s="3" t="s">
        <v>125</v>
      </c>
      <c r="D277" s="9">
        <v>8</v>
      </c>
      <c r="E277" s="4">
        <v>40469</v>
      </c>
      <c r="F277" s="5">
        <v>0.44930555555555557</v>
      </c>
      <c r="G277" s="6">
        <v>3.95</v>
      </c>
      <c r="H277" s="3">
        <v>13767</v>
      </c>
      <c r="I277" s="3" t="s">
        <v>5</v>
      </c>
      <c r="J277" s="3" t="str">
        <f t="shared" si="12"/>
        <v>Sale</v>
      </c>
      <c r="K277" s="6">
        <f t="shared" si="13"/>
        <v>31.6</v>
      </c>
      <c r="L277" s="6">
        <f t="shared" si="14"/>
        <v>31.6</v>
      </c>
    </row>
    <row r="278" spans="1:12" x14ac:dyDescent="0.35">
      <c r="A278" s="3">
        <v>536395</v>
      </c>
      <c r="B278" s="3">
        <v>22867</v>
      </c>
      <c r="C278" s="3" t="s">
        <v>275</v>
      </c>
      <c r="D278" s="9">
        <v>48</v>
      </c>
      <c r="E278" s="4">
        <v>40470</v>
      </c>
      <c r="F278" s="5">
        <v>0.44930555555555557</v>
      </c>
      <c r="G278" s="6">
        <v>2.1</v>
      </c>
      <c r="H278" s="3">
        <v>13767</v>
      </c>
      <c r="I278" s="3" t="s">
        <v>5</v>
      </c>
      <c r="J278" s="3" t="str">
        <f t="shared" si="12"/>
        <v>Sale</v>
      </c>
      <c r="K278" s="6">
        <f t="shared" si="13"/>
        <v>100.80000000000001</v>
      </c>
      <c r="L278" s="6">
        <f t="shared" si="14"/>
        <v>100.80000000000001</v>
      </c>
    </row>
    <row r="279" spans="1:12" x14ac:dyDescent="0.35">
      <c r="A279" s="3">
        <v>536395</v>
      </c>
      <c r="B279" s="3">
        <v>22866</v>
      </c>
      <c r="C279" s="3" t="s">
        <v>264</v>
      </c>
      <c r="D279" s="9">
        <v>48</v>
      </c>
      <c r="E279" s="4">
        <v>40471</v>
      </c>
      <c r="F279" s="5">
        <v>0.44930555555555557</v>
      </c>
      <c r="G279" s="6">
        <v>2.1</v>
      </c>
      <c r="H279" s="3">
        <v>13767</v>
      </c>
      <c r="I279" s="3" t="s">
        <v>5</v>
      </c>
      <c r="J279" s="3" t="str">
        <f t="shared" si="12"/>
        <v>Sale</v>
      </c>
      <c r="K279" s="6">
        <f t="shared" si="13"/>
        <v>100.80000000000001</v>
      </c>
      <c r="L279" s="6">
        <f t="shared" si="14"/>
        <v>100.80000000000001</v>
      </c>
    </row>
    <row r="280" spans="1:12" x14ac:dyDescent="0.35">
      <c r="A280" s="3">
        <v>536396</v>
      </c>
      <c r="B280" s="3" t="s">
        <v>4</v>
      </c>
      <c r="C280" s="3" t="s">
        <v>68</v>
      </c>
      <c r="D280" s="9">
        <v>6</v>
      </c>
      <c r="E280" s="4">
        <v>40472</v>
      </c>
      <c r="F280" s="5">
        <v>0.45208333333333334</v>
      </c>
      <c r="G280" s="6">
        <v>2.5499999999999998</v>
      </c>
      <c r="H280" s="3">
        <v>17850</v>
      </c>
      <c r="I280" s="3" t="s">
        <v>5</v>
      </c>
      <c r="J280" s="3" t="str">
        <f t="shared" si="12"/>
        <v>Sale</v>
      </c>
      <c r="K280" s="6">
        <f t="shared" si="13"/>
        <v>15.299999999999999</v>
      </c>
      <c r="L280" s="6">
        <f t="shared" si="14"/>
        <v>15.299999999999999</v>
      </c>
    </row>
    <row r="281" spans="1:12" x14ac:dyDescent="0.35">
      <c r="A281" s="3">
        <v>536396</v>
      </c>
      <c r="B281" s="3">
        <v>71053</v>
      </c>
      <c r="C281" s="3" t="s">
        <v>69</v>
      </c>
      <c r="D281" s="9">
        <v>6</v>
      </c>
      <c r="E281" s="4">
        <v>40473</v>
      </c>
      <c r="F281" s="5">
        <v>0.45208333333333334</v>
      </c>
      <c r="G281" s="6">
        <v>3.39</v>
      </c>
      <c r="H281" s="3">
        <v>17850</v>
      </c>
      <c r="I281" s="3" t="s">
        <v>5</v>
      </c>
      <c r="J281" s="3" t="str">
        <f t="shared" si="12"/>
        <v>Sale</v>
      </c>
      <c r="K281" s="6">
        <f t="shared" si="13"/>
        <v>20.34</v>
      </c>
      <c r="L281" s="6">
        <f t="shared" si="14"/>
        <v>20.34</v>
      </c>
    </row>
    <row r="282" spans="1:12" x14ac:dyDescent="0.35">
      <c r="A282" s="3">
        <v>536396</v>
      </c>
      <c r="B282" s="3" t="s">
        <v>6</v>
      </c>
      <c r="C282" s="3" t="s">
        <v>70</v>
      </c>
      <c r="D282" s="9">
        <v>8</v>
      </c>
      <c r="E282" s="4">
        <v>40474</v>
      </c>
      <c r="F282" s="5">
        <v>0.45208333333333334</v>
      </c>
      <c r="G282" s="6">
        <v>2.75</v>
      </c>
      <c r="H282" s="3">
        <v>17850</v>
      </c>
      <c r="I282" s="3" t="s">
        <v>5</v>
      </c>
      <c r="J282" s="3" t="str">
        <f t="shared" si="12"/>
        <v>Sale</v>
      </c>
      <c r="K282" s="6">
        <f t="shared" si="13"/>
        <v>22</v>
      </c>
      <c r="L282" s="6">
        <f t="shared" si="14"/>
        <v>22</v>
      </c>
    </row>
    <row r="283" spans="1:12" x14ac:dyDescent="0.35">
      <c r="A283" s="3">
        <v>536396</v>
      </c>
      <c r="B283" s="3" t="s">
        <v>21</v>
      </c>
      <c r="C283" s="3" t="s">
        <v>171</v>
      </c>
      <c r="D283" s="9">
        <v>6</v>
      </c>
      <c r="E283" s="4">
        <v>40475</v>
      </c>
      <c r="F283" s="5">
        <v>0.45208333333333334</v>
      </c>
      <c r="G283" s="6">
        <v>4.95</v>
      </c>
      <c r="H283" s="3">
        <v>17850</v>
      </c>
      <c r="I283" s="3" t="s">
        <v>5</v>
      </c>
      <c r="J283" s="3" t="str">
        <f t="shared" si="12"/>
        <v>Sale</v>
      </c>
      <c r="K283" s="6">
        <f t="shared" si="13"/>
        <v>29.700000000000003</v>
      </c>
      <c r="L283" s="6">
        <f t="shared" si="14"/>
        <v>29.700000000000003</v>
      </c>
    </row>
    <row r="284" spans="1:12" x14ac:dyDescent="0.35">
      <c r="A284" s="3">
        <v>536396</v>
      </c>
      <c r="B284" s="3">
        <v>20679</v>
      </c>
      <c r="C284" s="3" t="s">
        <v>115</v>
      </c>
      <c r="D284" s="9">
        <v>6</v>
      </c>
      <c r="E284" s="4">
        <v>40476</v>
      </c>
      <c r="F284" s="5">
        <v>0.45208333333333334</v>
      </c>
      <c r="G284" s="6">
        <v>4.95</v>
      </c>
      <c r="H284" s="3">
        <v>17850</v>
      </c>
      <c r="I284" s="3" t="s">
        <v>5</v>
      </c>
      <c r="J284" s="3" t="str">
        <f t="shared" si="12"/>
        <v>Sale</v>
      </c>
      <c r="K284" s="6">
        <f t="shared" si="13"/>
        <v>29.700000000000003</v>
      </c>
      <c r="L284" s="6">
        <f t="shared" si="14"/>
        <v>29.700000000000003</v>
      </c>
    </row>
    <row r="285" spans="1:12" x14ac:dyDescent="0.35">
      <c r="A285" s="3">
        <v>536396</v>
      </c>
      <c r="B285" s="3">
        <v>37370</v>
      </c>
      <c r="C285" s="3" t="s">
        <v>116</v>
      </c>
      <c r="D285" s="9">
        <v>6</v>
      </c>
      <c r="E285" s="4">
        <v>40477</v>
      </c>
      <c r="F285" s="5">
        <v>0.45208333333333334</v>
      </c>
      <c r="G285" s="6">
        <v>1.06</v>
      </c>
      <c r="H285" s="3">
        <v>17850</v>
      </c>
      <c r="I285" s="3" t="s">
        <v>5</v>
      </c>
      <c r="J285" s="3" t="str">
        <f t="shared" si="12"/>
        <v>Sale</v>
      </c>
      <c r="K285" s="6">
        <f t="shared" si="13"/>
        <v>6.36</v>
      </c>
      <c r="L285" s="6">
        <f t="shared" si="14"/>
        <v>6.36</v>
      </c>
    </row>
    <row r="286" spans="1:12" x14ac:dyDescent="0.35">
      <c r="A286" s="3">
        <v>536396</v>
      </c>
      <c r="B286" s="3">
        <v>21871</v>
      </c>
      <c r="C286" s="3" t="s">
        <v>117</v>
      </c>
      <c r="D286" s="9">
        <v>6</v>
      </c>
      <c r="E286" s="4">
        <v>40478</v>
      </c>
      <c r="F286" s="5">
        <v>0.45208333333333334</v>
      </c>
      <c r="G286" s="6">
        <v>1.06</v>
      </c>
      <c r="H286" s="3">
        <v>17850</v>
      </c>
      <c r="I286" s="3" t="s">
        <v>5</v>
      </c>
      <c r="J286" s="3" t="str">
        <f t="shared" si="12"/>
        <v>Sale</v>
      </c>
      <c r="K286" s="6">
        <f t="shared" si="13"/>
        <v>6.36</v>
      </c>
      <c r="L286" s="6">
        <f t="shared" si="14"/>
        <v>6.36</v>
      </c>
    </row>
    <row r="287" spans="1:12" x14ac:dyDescent="0.35">
      <c r="A287" s="3">
        <v>536396</v>
      </c>
      <c r="B287" s="3">
        <v>21071</v>
      </c>
      <c r="C287" s="3" t="s">
        <v>118</v>
      </c>
      <c r="D287" s="9">
        <v>6</v>
      </c>
      <c r="E287" s="4">
        <v>40479</v>
      </c>
      <c r="F287" s="5">
        <v>0.45208333333333334</v>
      </c>
      <c r="G287" s="6">
        <v>1.06</v>
      </c>
      <c r="H287" s="3">
        <v>17850</v>
      </c>
      <c r="I287" s="3" t="s">
        <v>5</v>
      </c>
      <c r="J287" s="3" t="str">
        <f t="shared" si="12"/>
        <v>Sale</v>
      </c>
      <c r="K287" s="6">
        <f t="shared" si="13"/>
        <v>6.36</v>
      </c>
      <c r="L287" s="6">
        <f t="shared" si="14"/>
        <v>6.36</v>
      </c>
    </row>
    <row r="288" spans="1:12" x14ac:dyDescent="0.35">
      <c r="A288" s="3">
        <v>536396</v>
      </c>
      <c r="B288" s="3">
        <v>21068</v>
      </c>
      <c r="C288" s="3" t="s">
        <v>119</v>
      </c>
      <c r="D288" s="9">
        <v>6</v>
      </c>
      <c r="E288" s="4">
        <v>40480</v>
      </c>
      <c r="F288" s="5">
        <v>0.45208333333333334</v>
      </c>
      <c r="G288" s="6">
        <v>1.06</v>
      </c>
      <c r="H288" s="3">
        <v>17850</v>
      </c>
      <c r="I288" s="3" t="s">
        <v>5</v>
      </c>
      <c r="J288" s="3" t="str">
        <f t="shared" si="12"/>
        <v>Sale</v>
      </c>
      <c r="K288" s="6">
        <f t="shared" si="13"/>
        <v>6.36</v>
      </c>
      <c r="L288" s="6">
        <f t="shared" si="14"/>
        <v>6.36</v>
      </c>
    </row>
    <row r="289" spans="1:12" x14ac:dyDescent="0.35">
      <c r="A289" s="3">
        <v>536396</v>
      </c>
      <c r="B289" s="3">
        <v>82483</v>
      </c>
      <c r="C289" s="3" t="s">
        <v>120</v>
      </c>
      <c r="D289" s="9">
        <v>2</v>
      </c>
      <c r="E289" s="4">
        <v>40481</v>
      </c>
      <c r="F289" s="5">
        <v>0.45208333333333334</v>
      </c>
      <c r="G289" s="6">
        <v>4.95</v>
      </c>
      <c r="H289" s="3">
        <v>17850</v>
      </c>
      <c r="I289" s="3" t="s">
        <v>5</v>
      </c>
      <c r="J289" s="3" t="str">
        <f t="shared" si="12"/>
        <v>Sale</v>
      </c>
      <c r="K289" s="6">
        <f t="shared" si="13"/>
        <v>9.9</v>
      </c>
      <c r="L289" s="6">
        <f t="shared" si="14"/>
        <v>9.9</v>
      </c>
    </row>
    <row r="290" spans="1:12" x14ac:dyDescent="0.35">
      <c r="A290" s="3">
        <v>536396</v>
      </c>
      <c r="B290" s="3">
        <v>82486</v>
      </c>
      <c r="C290" s="3" t="s">
        <v>121</v>
      </c>
      <c r="D290" s="9">
        <v>4</v>
      </c>
      <c r="E290" s="4">
        <v>40482</v>
      </c>
      <c r="F290" s="5">
        <v>0.45208333333333334</v>
      </c>
      <c r="G290" s="6">
        <v>6.95</v>
      </c>
      <c r="H290" s="3">
        <v>17850</v>
      </c>
      <c r="I290" s="3" t="s">
        <v>5</v>
      </c>
      <c r="J290" s="3" t="str">
        <f t="shared" si="12"/>
        <v>Sale</v>
      </c>
      <c r="K290" s="6">
        <f t="shared" si="13"/>
        <v>27.8</v>
      </c>
      <c r="L290" s="6">
        <f t="shared" si="14"/>
        <v>27.8</v>
      </c>
    </row>
    <row r="291" spans="1:12" x14ac:dyDescent="0.35">
      <c r="A291" s="3">
        <v>536396</v>
      </c>
      <c r="B291" s="3">
        <v>82482</v>
      </c>
      <c r="C291" s="3" t="s">
        <v>122</v>
      </c>
      <c r="D291" s="9">
        <v>6</v>
      </c>
      <c r="E291" s="4">
        <v>40483</v>
      </c>
      <c r="F291" s="5">
        <v>0.45208333333333334</v>
      </c>
      <c r="G291" s="6">
        <v>2.1</v>
      </c>
      <c r="H291" s="3">
        <v>17850</v>
      </c>
      <c r="I291" s="3" t="s">
        <v>5</v>
      </c>
      <c r="J291" s="3" t="str">
        <f t="shared" si="12"/>
        <v>Sale</v>
      </c>
      <c r="K291" s="6">
        <f t="shared" si="13"/>
        <v>12.600000000000001</v>
      </c>
      <c r="L291" s="6">
        <f t="shared" si="14"/>
        <v>12.600000000000001</v>
      </c>
    </row>
    <row r="292" spans="1:12" x14ac:dyDescent="0.35">
      <c r="A292" s="3">
        <v>536396</v>
      </c>
      <c r="B292" s="3" t="s">
        <v>11</v>
      </c>
      <c r="C292" s="3" t="s">
        <v>123</v>
      </c>
      <c r="D292" s="9">
        <v>12</v>
      </c>
      <c r="E292" s="4">
        <v>40484</v>
      </c>
      <c r="F292" s="5">
        <v>0.45208333333333334</v>
      </c>
      <c r="G292" s="6">
        <v>2.5499999999999998</v>
      </c>
      <c r="H292" s="3">
        <v>17850</v>
      </c>
      <c r="I292" s="3" t="s">
        <v>5</v>
      </c>
      <c r="J292" s="3" t="str">
        <f t="shared" si="12"/>
        <v>Sale</v>
      </c>
      <c r="K292" s="6">
        <f t="shared" si="13"/>
        <v>30.599999999999998</v>
      </c>
      <c r="L292" s="6">
        <f t="shared" si="14"/>
        <v>30.599999999999998</v>
      </c>
    </row>
    <row r="293" spans="1:12" x14ac:dyDescent="0.35">
      <c r="A293" s="3">
        <v>536396</v>
      </c>
      <c r="B293" s="3" t="s">
        <v>7</v>
      </c>
      <c r="C293" s="3" t="s">
        <v>71</v>
      </c>
      <c r="D293" s="9">
        <v>6</v>
      </c>
      <c r="E293" s="4">
        <v>40485</v>
      </c>
      <c r="F293" s="5">
        <v>0.45208333333333334</v>
      </c>
      <c r="G293" s="6">
        <v>3.39</v>
      </c>
      <c r="H293" s="3">
        <v>17850</v>
      </c>
      <c r="I293" s="3" t="s">
        <v>5</v>
      </c>
      <c r="J293" s="3" t="str">
        <f t="shared" si="12"/>
        <v>Sale</v>
      </c>
      <c r="K293" s="6">
        <f t="shared" si="13"/>
        <v>20.34</v>
      </c>
      <c r="L293" s="6">
        <f t="shared" si="14"/>
        <v>20.34</v>
      </c>
    </row>
    <row r="294" spans="1:12" x14ac:dyDescent="0.35">
      <c r="A294" s="3">
        <v>536396</v>
      </c>
      <c r="B294" s="3" t="s">
        <v>8</v>
      </c>
      <c r="C294" s="3" t="s">
        <v>72</v>
      </c>
      <c r="D294" s="9">
        <v>6</v>
      </c>
      <c r="E294" s="4">
        <v>40486</v>
      </c>
      <c r="F294" s="5">
        <v>0.45208333333333334</v>
      </c>
      <c r="G294" s="6">
        <v>3.39</v>
      </c>
      <c r="H294" s="3">
        <v>17850</v>
      </c>
      <c r="I294" s="3" t="s">
        <v>5</v>
      </c>
      <c r="J294" s="3" t="str">
        <f t="shared" si="12"/>
        <v>Sale</v>
      </c>
      <c r="K294" s="6">
        <f t="shared" si="13"/>
        <v>20.34</v>
      </c>
      <c r="L294" s="6">
        <f t="shared" si="14"/>
        <v>20.34</v>
      </c>
    </row>
    <row r="295" spans="1:12" x14ac:dyDescent="0.35">
      <c r="A295" s="3">
        <v>536396</v>
      </c>
      <c r="B295" s="3">
        <v>22752</v>
      </c>
      <c r="C295" s="3" t="s">
        <v>73</v>
      </c>
      <c r="D295" s="9">
        <v>2</v>
      </c>
      <c r="E295" s="4">
        <v>40487</v>
      </c>
      <c r="F295" s="5">
        <v>0.45208333333333334</v>
      </c>
      <c r="G295" s="6">
        <v>7.65</v>
      </c>
      <c r="H295" s="3">
        <v>17850</v>
      </c>
      <c r="I295" s="3" t="s">
        <v>5</v>
      </c>
      <c r="J295" s="3" t="str">
        <f t="shared" si="12"/>
        <v>Sale</v>
      </c>
      <c r="K295" s="6">
        <f t="shared" si="13"/>
        <v>15.3</v>
      </c>
      <c r="L295" s="6">
        <f t="shared" si="14"/>
        <v>15.3</v>
      </c>
    </row>
    <row r="296" spans="1:12" x14ac:dyDescent="0.35">
      <c r="A296" s="3">
        <v>536396</v>
      </c>
      <c r="B296" s="3">
        <v>22803</v>
      </c>
      <c r="C296" s="3" t="s">
        <v>276</v>
      </c>
      <c r="D296" s="9">
        <v>2</v>
      </c>
      <c r="E296" s="4">
        <v>40488</v>
      </c>
      <c r="F296" s="5">
        <v>0.45208333333333334</v>
      </c>
      <c r="G296" s="6">
        <v>35.75</v>
      </c>
      <c r="H296" s="3">
        <v>17850</v>
      </c>
      <c r="I296" s="3" t="s">
        <v>5</v>
      </c>
      <c r="J296" s="3" t="str">
        <f t="shared" si="12"/>
        <v>Sale</v>
      </c>
      <c r="K296" s="6">
        <f t="shared" si="13"/>
        <v>71.5</v>
      </c>
      <c r="L296" s="6">
        <f t="shared" si="14"/>
        <v>71.5</v>
      </c>
    </row>
    <row r="297" spans="1:12" x14ac:dyDescent="0.35">
      <c r="A297" s="3">
        <v>536396</v>
      </c>
      <c r="B297" s="3">
        <v>21730</v>
      </c>
      <c r="C297" s="3" t="s">
        <v>74</v>
      </c>
      <c r="D297" s="9">
        <v>6</v>
      </c>
      <c r="E297" s="4">
        <v>40489</v>
      </c>
      <c r="F297" s="5">
        <v>0.45208333333333334</v>
      </c>
      <c r="G297" s="6">
        <v>4.25</v>
      </c>
      <c r="H297" s="3">
        <v>17850</v>
      </c>
      <c r="I297" s="3" t="s">
        <v>5</v>
      </c>
      <c r="J297" s="3" t="str">
        <f t="shared" si="12"/>
        <v>Sale</v>
      </c>
      <c r="K297" s="6">
        <f t="shared" si="13"/>
        <v>25.5</v>
      </c>
      <c r="L297" s="6">
        <f t="shared" si="14"/>
        <v>25.5</v>
      </c>
    </row>
    <row r="298" spans="1:12" x14ac:dyDescent="0.35">
      <c r="A298" s="3">
        <v>536397</v>
      </c>
      <c r="B298" s="3" t="s">
        <v>37</v>
      </c>
      <c r="C298" s="3" t="s">
        <v>277</v>
      </c>
      <c r="D298" s="9">
        <v>12</v>
      </c>
      <c r="E298" s="4">
        <v>40490</v>
      </c>
      <c r="F298" s="5">
        <v>0.45208333333333334</v>
      </c>
      <c r="G298" s="6">
        <v>4.6500000000000004</v>
      </c>
      <c r="H298" s="3">
        <v>17924</v>
      </c>
      <c r="I298" s="3" t="s">
        <v>5</v>
      </c>
      <c r="J298" s="3" t="str">
        <f t="shared" si="12"/>
        <v>Sale</v>
      </c>
      <c r="K298" s="6">
        <f t="shared" si="13"/>
        <v>55.800000000000004</v>
      </c>
      <c r="L298" s="6">
        <f t="shared" si="14"/>
        <v>55.800000000000004</v>
      </c>
    </row>
    <row r="299" spans="1:12" x14ac:dyDescent="0.35">
      <c r="A299" s="3">
        <v>536397</v>
      </c>
      <c r="B299" s="3" t="s">
        <v>27</v>
      </c>
      <c r="C299" s="3" t="s">
        <v>188</v>
      </c>
      <c r="D299" s="9">
        <v>48</v>
      </c>
      <c r="E299" s="4">
        <v>40491</v>
      </c>
      <c r="F299" s="5">
        <v>0.45208333333333334</v>
      </c>
      <c r="G299" s="6">
        <v>4.6500000000000004</v>
      </c>
      <c r="H299" s="3">
        <v>17924</v>
      </c>
      <c r="I299" s="3" t="s">
        <v>5</v>
      </c>
      <c r="J299" s="3" t="str">
        <f t="shared" si="12"/>
        <v>Sale</v>
      </c>
      <c r="K299" s="6">
        <f t="shared" si="13"/>
        <v>223.20000000000002</v>
      </c>
      <c r="L299" s="6">
        <f t="shared" si="14"/>
        <v>223.20000000000002</v>
      </c>
    </row>
    <row r="300" spans="1:12" x14ac:dyDescent="0.35">
      <c r="A300" s="3">
        <v>536398</v>
      </c>
      <c r="B300" s="3">
        <v>21980</v>
      </c>
      <c r="C300" s="3" t="s">
        <v>249</v>
      </c>
      <c r="D300" s="9">
        <v>24</v>
      </c>
      <c r="E300" s="4">
        <v>40492</v>
      </c>
      <c r="F300" s="5">
        <v>0.45277777777777778</v>
      </c>
      <c r="G300" s="6">
        <v>0.28999999999999998</v>
      </c>
      <c r="H300" s="3">
        <v>13448</v>
      </c>
      <c r="I300" s="3" t="s">
        <v>5</v>
      </c>
      <c r="J300" s="3" t="str">
        <f t="shared" si="12"/>
        <v>Sale</v>
      </c>
      <c r="K300" s="6">
        <f t="shared" si="13"/>
        <v>6.9599999999999991</v>
      </c>
      <c r="L300" s="6">
        <f t="shared" si="14"/>
        <v>6.9599999999999991</v>
      </c>
    </row>
    <row r="301" spans="1:12" x14ac:dyDescent="0.35">
      <c r="A301" s="3">
        <v>536398</v>
      </c>
      <c r="B301" s="3">
        <v>21844</v>
      </c>
      <c r="C301" s="3" t="s">
        <v>278</v>
      </c>
      <c r="D301" s="9">
        <v>6</v>
      </c>
      <c r="E301" s="4">
        <v>40493</v>
      </c>
      <c r="F301" s="5">
        <v>0.45277777777777778</v>
      </c>
      <c r="G301" s="6">
        <v>2.95</v>
      </c>
      <c r="H301" s="3">
        <v>13448</v>
      </c>
      <c r="I301" s="3" t="s">
        <v>5</v>
      </c>
      <c r="J301" s="3" t="str">
        <f t="shared" si="12"/>
        <v>Sale</v>
      </c>
      <c r="K301" s="6">
        <f t="shared" si="13"/>
        <v>17.700000000000003</v>
      </c>
      <c r="L301" s="6">
        <f t="shared" si="14"/>
        <v>17.700000000000003</v>
      </c>
    </row>
    <row r="302" spans="1:12" x14ac:dyDescent="0.35">
      <c r="A302" s="3">
        <v>536398</v>
      </c>
      <c r="B302" s="3">
        <v>22468</v>
      </c>
      <c r="C302" s="3" t="s">
        <v>279</v>
      </c>
      <c r="D302" s="9">
        <v>4</v>
      </c>
      <c r="E302" s="4">
        <v>40494</v>
      </c>
      <c r="F302" s="5">
        <v>0.45277777777777778</v>
      </c>
      <c r="G302" s="6">
        <v>6.75</v>
      </c>
      <c r="H302" s="3">
        <v>13448</v>
      </c>
      <c r="I302" s="3" t="s">
        <v>5</v>
      </c>
      <c r="J302" s="3" t="str">
        <f t="shared" si="12"/>
        <v>Sale</v>
      </c>
      <c r="K302" s="6">
        <f t="shared" si="13"/>
        <v>27</v>
      </c>
      <c r="L302" s="6">
        <f t="shared" si="14"/>
        <v>27</v>
      </c>
    </row>
    <row r="303" spans="1:12" x14ac:dyDescent="0.35">
      <c r="A303" s="3">
        <v>536398</v>
      </c>
      <c r="B303" s="3">
        <v>22637</v>
      </c>
      <c r="C303" s="3" t="s">
        <v>156</v>
      </c>
      <c r="D303" s="9">
        <v>8</v>
      </c>
      <c r="E303" s="4">
        <v>40495</v>
      </c>
      <c r="F303" s="5">
        <v>0.45277777777777778</v>
      </c>
      <c r="G303" s="6">
        <v>2.5499999999999998</v>
      </c>
      <c r="H303" s="3">
        <v>13448</v>
      </c>
      <c r="I303" s="3" t="s">
        <v>5</v>
      </c>
      <c r="J303" s="3" t="str">
        <f t="shared" si="12"/>
        <v>Sale</v>
      </c>
      <c r="K303" s="6">
        <f t="shared" si="13"/>
        <v>20.399999999999999</v>
      </c>
      <c r="L303" s="6">
        <f t="shared" si="14"/>
        <v>20.399999999999999</v>
      </c>
    </row>
    <row r="304" spans="1:12" x14ac:dyDescent="0.35">
      <c r="A304" s="3">
        <v>536398</v>
      </c>
      <c r="B304" s="3">
        <v>22752</v>
      </c>
      <c r="C304" s="3" t="s">
        <v>73</v>
      </c>
      <c r="D304" s="9">
        <v>6</v>
      </c>
      <c r="E304" s="4">
        <v>40496</v>
      </c>
      <c r="F304" s="5">
        <v>0.45277777777777778</v>
      </c>
      <c r="G304" s="6">
        <v>8.5</v>
      </c>
      <c r="H304" s="3">
        <v>13448</v>
      </c>
      <c r="I304" s="3" t="s">
        <v>5</v>
      </c>
      <c r="J304" s="3" t="str">
        <f t="shared" si="12"/>
        <v>Sale</v>
      </c>
      <c r="K304" s="6">
        <f t="shared" si="13"/>
        <v>51</v>
      </c>
      <c r="L304" s="6">
        <f t="shared" si="14"/>
        <v>51</v>
      </c>
    </row>
    <row r="305" spans="1:12" x14ac:dyDescent="0.35">
      <c r="A305" s="3">
        <v>536398</v>
      </c>
      <c r="B305" s="3">
        <v>48185</v>
      </c>
      <c r="C305" s="3" t="s">
        <v>280</v>
      </c>
      <c r="D305" s="9">
        <v>2</v>
      </c>
      <c r="E305" s="4">
        <v>40497</v>
      </c>
      <c r="F305" s="5">
        <v>0.45277777777777778</v>
      </c>
      <c r="G305" s="6">
        <v>7.95</v>
      </c>
      <c r="H305" s="3">
        <v>13448</v>
      </c>
      <c r="I305" s="3" t="s">
        <v>5</v>
      </c>
      <c r="J305" s="3" t="str">
        <f t="shared" si="12"/>
        <v>Sale</v>
      </c>
      <c r="K305" s="6">
        <f t="shared" si="13"/>
        <v>15.9</v>
      </c>
      <c r="L305" s="6">
        <f t="shared" si="14"/>
        <v>15.9</v>
      </c>
    </row>
    <row r="306" spans="1:12" x14ac:dyDescent="0.35">
      <c r="A306" s="3">
        <v>536398</v>
      </c>
      <c r="B306" s="3">
        <v>22632</v>
      </c>
      <c r="C306" s="3" t="s">
        <v>266</v>
      </c>
      <c r="D306" s="9">
        <v>12</v>
      </c>
      <c r="E306" s="4">
        <v>40498</v>
      </c>
      <c r="F306" s="5">
        <v>0.45277777777777778</v>
      </c>
      <c r="G306" s="6">
        <v>2.1</v>
      </c>
      <c r="H306" s="3">
        <v>13448</v>
      </c>
      <c r="I306" s="3" t="s">
        <v>5</v>
      </c>
      <c r="J306" s="3" t="str">
        <f t="shared" si="12"/>
        <v>Sale</v>
      </c>
      <c r="K306" s="6">
        <f t="shared" si="13"/>
        <v>25.200000000000003</v>
      </c>
      <c r="L306" s="6">
        <f t="shared" si="14"/>
        <v>25.200000000000003</v>
      </c>
    </row>
    <row r="307" spans="1:12" x14ac:dyDescent="0.35">
      <c r="A307" s="3">
        <v>536398</v>
      </c>
      <c r="B307" s="3">
        <v>22866</v>
      </c>
      <c r="C307" s="3" t="s">
        <v>264</v>
      </c>
      <c r="D307" s="9">
        <v>12</v>
      </c>
      <c r="E307" s="4">
        <v>40499</v>
      </c>
      <c r="F307" s="5">
        <v>0.45277777777777778</v>
      </c>
      <c r="G307" s="6">
        <v>2.1</v>
      </c>
      <c r="H307" s="3">
        <v>13448</v>
      </c>
      <c r="I307" s="3" t="s">
        <v>5</v>
      </c>
      <c r="J307" s="3" t="str">
        <f t="shared" si="12"/>
        <v>Sale</v>
      </c>
      <c r="K307" s="6">
        <f t="shared" si="13"/>
        <v>25.200000000000003</v>
      </c>
      <c r="L307" s="6">
        <f t="shared" si="14"/>
        <v>25.200000000000003</v>
      </c>
    </row>
    <row r="308" spans="1:12" x14ac:dyDescent="0.35">
      <c r="A308" s="3">
        <v>536398</v>
      </c>
      <c r="B308" s="3">
        <v>22865</v>
      </c>
      <c r="C308" s="3" t="s">
        <v>265</v>
      </c>
      <c r="D308" s="9">
        <v>12</v>
      </c>
      <c r="E308" s="4">
        <v>40500</v>
      </c>
      <c r="F308" s="5">
        <v>0.45277777777777778</v>
      </c>
      <c r="G308" s="6">
        <v>2.1</v>
      </c>
      <c r="H308" s="3">
        <v>13448</v>
      </c>
      <c r="I308" s="3" t="s">
        <v>5</v>
      </c>
      <c r="J308" s="3" t="str">
        <f t="shared" si="12"/>
        <v>Sale</v>
      </c>
      <c r="K308" s="6">
        <f t="shared" si="13"/>
        <v>25.200000000000003</v>
      </c>
      <c r="L308" s="6">
        <f t="shared" si="14"/>
        <v>25.200000000000003</v>
      </c>
    </row>
    <row r="309" spans="1:12" x14ac:dyDescent="0.35">
      <c r="A309" s="3">
        <v>536398</v>
      </c>
      <c r="B309" s="3">
        <v>21232</v>
      </c>
      <c r="C309" s="3" t="s">
        <v>281</v>
      </c>
      <c r="D309" s="9">
        <v>12</v>
      </c>
      <c r="E309" s="4">
        <v>40501</v>
      </c>
      <c r="F309" s="5">
        <v>0.45277777777777778</v>
      </c>
      <c r="G309" s="6">
        <v>1.25</v>
      </c>
      <c r="H309" s="3">
        <v>13448</v>
      </c>
      <c r="I309" s="3" t="s">
        <v>5</v>
      </c>
      <c r="J309" s="3" t="str">
        <f t="shared" si="12"/>
        <v>Sale</v>
      </c>
      <c r="K309" s="6">
        <f t="shared" si="13"/>
        <v>15</v>
      </c>
      <c r="L309" s="6">
        <f t="shared" si="14"/>
        <v>15</v>
      </c>
    </row>
    <row r="310" spans="1:12" x14ac:dyDescent="0.35">
      <c r="A310" s="3">
        <v>536398</v>
      </c>
      <c r="B310" s="3">
        <v>22064</v>
      </c>
      <c r="C310" s="3" t="s">
        <v>282</v>
      </c>
      <c r="D310" s="9">
        <v>12</v>
      </c>
      <c r="E310" s="4">
        <v>40502</v>
      </c>
      <c r="F310" s="5">
        <v>0.45277777777777778</v>
      </c>
      <c r="G310" s="6">
        <v>1.65</v>
      </c>
      <c r="H310" s="3">
        <v>13448</v>
      </c>
      <c r="I310" s="3" t="s">
        <v>5</v>
      </c>
      <c r="J310" s="3" t="str">
        <f t="shared" si="12"/>
        <v>Sale</v>
      </c>
      <c r="K310" s="6">
        <f t="shared" si="13"/>
        <v>19.799999999999997</v>
      </c>
      <c r="L310" s="6">
        <f t="shared" si="14"/>
        <v>19.799999999999997</v>
      </c>
    </row>
    <row r="311" spans="1:12" x14ac:dyDescent="0.35">
      <c r="A311" s="3">
        <v>536398</v>
      </c>
      <c r="B311" s="3">
        <v>22449</v>
      </c>
      <c r="C311" s="3" t="s">
        <v>283</v>
      </c>
      <c r="D311" s="9">
        <v>6</v>
      </c>
      <c r="E311" s="4">
        <v>40503</v>
      </c>
      <c r="F311" s="5">
        <v>0.45277777777777778</v>
      </c>
      <c r="G311" s="6">
        <v>3.35</v>
      </c>
      <c r="H311" s="3">
        <v>13448</v>
      </c>
      <c r="I311" s="3" t="s">
        <v>5</v>
      </c>
      <c r="J311" s="3" t="str">
        <f t="shared" si="12"/>
        <v>Sale</v>
      </c>
      <c r="K311" s="6">
        <f t="shared" si="13"/>
        <v>20.100000000000001</v>
      </c>
      <c r="L311" s="6">
        <f t="shared" si="14"/>
        <v>20.100000000000001</v>
      </c>
    </row>
    <row r="312" spans="1:12" x14ac:dyDescent="0.35">
      <c r="A312" s="3">
        <v>536398</v>
      </c>
      <c r="B312" s="3">
        <v>22114</v>
      </c>
      <c r="C312" s="3" t="s">
        <v>125</v>
      </c>
      <c r="D312" s="9">
        <v>4</v>
      </c>
      <c r="E312" s="4">
        <v>40504</v>
      </c>
      <c r="F312" s="5">
        <v>0.45277777777777778</v>
      </c>
      <c r="G312" s="6">
        <v>3.95</v>
      </c>
      <c r="H312" s="3">
        <v>13448</v>
      </c>
      <c r="I312" s="3" t="s">
        <v>5</v>
      </c>
      <c r="J312" s="3" t="str">
        <f t="shared" si="12"/>
        <v>Sale</v>
      </c>
      <c r="K312" s="6">
        <f t="shared" si="13"/>
        <v>15.8</v>
      </c>
      <c r="L312" s="6">
        <f t="shared" si="14"/>
        <v>15.8</v>
      </c>
    </row>
    <row r="313" spans="1:12" x14ac:dyDescent="0.35">
      <c r="A313" s="3">
        <v>536398</v>
      </c>
      <c r="B313" s="3">
        <v>22835</v>
      </c>
      <c r="C313" s="3" t="s">
        <v>284</v>
      </c>
      <c r="D313" s="9">
        <v>8</v>
      </c>
      <c r="E313" s="4">
        <v>40505</v>
      </c>
      <c r="F313" s="5">
        <v>0.45277777777777778</v>
      </c>
      <c r="G313" s="6">
        <v>4.6500000000000004</v>
      </c>
      <c r="H313" s="3">
        <v>13448</v>
      </c>
      <c r="I313" s="3" t="s">
        <v>5</v>
      </c>
      <c r="J313" s="3" t="str">
        <f t="shared" si="12"/>
        <v>Sale</v>
      </c>
      <c r="K313" s="6">
        <f t="shared" si="13"/>
        <v>37.200000000000003</v>
      </c>
      <c r="L313" s="6">
        <f t="shared" si="14"/>
        <v>37.200000000000003</v>
      </c>
    </row>
    <row r="314" spans="1:12" x14ac:dyDescent="0.35">
      <c r="A314" s="3">
        <v>536398</v>
      </c>
      <c r="B314" s="3">
        <v>22112</v>
      </c>
      <c r="C314" s="3" t="s">
        <v>285</v>
      </c>
      <c r="D314" s="9">
        <v>9</v>
      </c>
      <c r="E314" s="4">
        <v>40506</v>
      </c>
      <c r="F314" s="5">
        <v>0.45277777777777778</v>
      </c>
      <c r="G314" s="6">
        <v>4.95</v>
      </c>
      <c r="H314" s="3">
        <v>13448</v>
      </c>
      <c r="I314" s="3" t="s">
        <v>5</v>
      </c>
      <c r="J314" s="3" t="str">
        <f t="shared" si="12"/>
        <v>Sale</v>
      </c>
      <c r="K314" s="6">
        <f t="shared" si="13"/>
        <v>44.550000000000004</v>
      </c>
      <c r="L314" s="6">
        <f t="shared" si="14"/>
        <v>44.550000000000004</v>
      </c>
    </row>
    <row r="315" spans="1:12" x14ac:dyDescent="0.35">
      <c r="A315" s="3">
        <v>536398</v>
      </c>
      <c r="B315" s="3">
        <v>21479</v>
      </c>
      <c r="C315" s="3" t="s">
        <v>286</v>
      </c>
      <c r="D315" s="9">
        <v>4</v>
      </c>
      <c r="E315" s="4">
        <v>40507</v>
      </c>
      <c r="F315" s="5">
        <v>0.45277777777777778</v>
      </c>
      <c r="G315" s="6">
        <v>3.75</v>
      </c>
      <c r="H315" s="3">
        <v>13448</v>
      </c>
      <c r="I315" s="3" t="s">
        <v>5</v>
      </c>
      <c r="J315" s="3" t="str">
        <f t="shared" si="12"/>
        <v>Sale</v>
      </c>
      <c r="K315" s="6">
        <f t="shared" si="13"/>
        <v>15</v>
      </c>
      <c r="L315" s="6">
        <f t="shared" si="14"/>
        <v>15</v>
      </c>
    </row>
    <row r="316" spans="1:12" x14ac:dyDescent="0.35">
      <c r="A316" s="3">
        <v>536398</v>
      </c>
      <c r="B316" s="3">
        <v>22111</v>
      </c>
      <c r="C316" s="3" t="s">
        <v>287</v>
      </c>
      <c r="D316" s="9">
        <v>9</v>
      </c>
      <c r="E316" s="4">
        <v>40508</v>
      </c>
      <c r="F316" s="5">
        <v>0.45277777777777778</v>
      </c>
      <c r="G316" s="6">
        <v>4.95</v>
      </c>
      <c r="H316" s="3">
        <v>13448</v>
      </c>
      <c r="I316" s="3" t="s">
        <v>5</v>
      </c>
      <c r="J316" s="3" t="str">
        <f t="shared" si="12"/>
        <v>Sale</v>
      </c>
      <c r="K316" s="6">
        <f t="shared" si="13"/>
        <v>44.550000000000004</v>
      </c>
      <c r="L316" s="6">
        <f t="shared" si="14"/>
        <v>44.550000000000004</v>
      </c>
    </row>
    <row r="317" spans="1:12" x14ac:dyDescent="0.35">
      <c r="A317" s="3">
        <v>536399</v>
      </c>
      <c r="B317" s="3">
        <v>22632</v>
      </c>
      <c r="C317" s="3" t="s">
        <v>76</v>
      </c>
      <c r="D317" s="9">
        <v>6</v>
      </c>
      <c r="E317" s="4">
        <v>40509</v>
      </c>
      <c r="F317" s="5">
        <v>0.45277777777777778</v>
      </c>
      <c r="G317" s="6">
        <v>1.85</v>
      </c>
      <c r="H317" s="3">
        <v>17850</v>
      </c>
      <c r="I317" s="3" t="s">
        <v>5</v>
      </c>
      <c r="J317" s="3" t="str">
        <f t="shared" si="12"/>
        <v>Sale</v>
      </c>
      <c r="K317" s="6">
        <f t="shared" si="13"/>
        <v>11.100000000000001</v>
      </c>
      <c r="L317" s="6">
        <f t="shared" si="14"/>
        <v>11.100000000000001</v>
      </c>
    </row>
    <row r="318" spans="1:12" x14ac:dyDescent="0.35">
      <c r="A318" s="3">
        <v>536399</v>
      </c>
      <c r="B318" s="3">
        <v>22633</v>
      </c>
      <c r="C318" s="3" t="s">
        <v>75</v>
      </c>
      <c r="D318" s="9">
        <v>6</v>
      </c>
      <c r="E318" s="4">
        <v>40510</v>
      </c>
      <c r="F318" s="5">
        <v>0.45277777777777778</v>
      </c>
      <c r="G318" s="6">
        <v>1.85</v>
      </c>
      <c r="H318" s="3">
        <v>17850</v>
      </c>
      <c r="I318" s="3" t="s">
        <v>5</v>
      </c>
      <c r="J318" s="3" t="str">
        <f t="shared" si="12"/>
        <v>Sale</v>
      </c>
      <c r="K318" s="6">
        <f t="shared" si="13"/>
        <v>11.100000000000001</v>
      </c>
      <c r="L318" s="6">
        <f t="shared" si="14"/>
        <v>11.100000000000001</v>
      </c>
    </row>
    <row r="319" spans="1:12" x14ac:dyDescent="0.35">
      <c r="A319" s="3">
        <v>536400</v>
      </c>
      <c r="B319" s="3">
        <v>22969</v>
      </c>
      <c r="C319" s="3" t="s">
        <v>217</v>
      </c>
      <c r="D319" s="9">
        <v>12</v>
      </c>
      <c r="E319" s="4">
        <v>40511</v>
      </c>
      <c r="F319" s="5">
        <v>0.45347222222222222</v>
      </c>
      <c r="G319" s="6">
        <v>1.45</v>
      </c>
      <c r="H319" s="3">
        <v>13448</v>
      </c>
      <c r="I319" s="3" t="s">
        <v>5</v>
      </c>
      <c r="J319" s="3" t="str">
        <f t="shared" si="12"/>
        <v>Sale</v>
      </c>
      <c r="K319" s="6">
        <f t="shared" si="13"/>
        <v>17.399999999999999</v>
      </c>
      <c r="L319" s="6">
        <f t="shared" si="14"/>
        <v>17.399999999999999</v>
      </c>
    </row>
    <row r="320" spans="1:12" x14ac:dyDescent="0.35">
      <c r="A320" s="3">
        <v>536401</v>
      </c>
      <c r="B320" s="3">
        <v>22110</v>
      </c>
      <c r="C320" s="3" t="s">
        <v>288</v>
      </c>
      <c r="D320" s="9">
        <v>1</v>
      </c>
      <c r="E320" s="4">
        <v>40512</v>
      </c>
      <c r="F320" s="5">
        <v>0.47291666666666665</v>
      </c>
      <c r="G320" s="6">
        <v>2.5499999999999998</v>
      </c>
      <c r="H320" s="3">
        <v>15862</v>
      </c>
      <c r="I320" s="3" t="s">
        <v>5</v>
      </c>
      <c r="J320" s="3" t="str">
        <f t="shared" si="12"/>
        <v>Sale</v>
      </c>
      <c r="K320" s="6">
        <f t="shared" si="13"/>
        <v>2.5499999999999998</v>
      </c>
      <c r="L320" s="6">
        <f t="shared" si="14"/>
        <v>2.5499999999999998</v>
      </c>
    </row>
    <row r="321" spans="1:12" x14ac:dyDescent="0.35">
      <c r="A321" s="3">
        <v>536401</v>
      </c>
      <c r="B321" s="3">
        <v>22098</v>
      </c>
      <c r="C321" s="3" t="s">
        <v>289</v>
      </c>
      <c r="D321" s="9">
        <v>1</v>
      </c>
      <c r="E321" s="4">
        <v>40513</v>
      </c>
      <c r="F321" s="5">
        <v>0.47291666666666665</v>
      </c>
      <c r="G321" s="6">
        <v>1.25</v>
      </c>
      <c r="H321" s="3">
        <v>15862</v>
      </c>
      <c r="I321" s="3" t="s">
        <v>5</v>
      </c>
      <c r="J321" s="3" t="str">
        <f t="shared" si="12"/>
        <v>Sale</v>
      </c>
      <c r="K321" s="6">
        <f t="shared" si="13"/>
        <v>1.25</v>
      </c>
      <c r="L321" s="6">
        <f t="shared" si="14"/>
        <v>1.25</v>
      </c>
    </row>
    <row r="322" spans="1:12" x14ac:dyDescent="0.35">
      <c r="A322" s="3">
        <v>536401</v>
      </c>
      <c r="B322" s="3">
        <v>22100</v>
      </c>
      <c r="C322" s="3" t="s">
        <v>290</v>
      </c>
      <c r="D322" s="9">
        <v>2</v>
      </c>
      <c r="E322" s="4">
        <v>40514</v>
      </c>
      <c r="F322" s="5">
        <v>0.47291666666666665</v>
      </c>
      <c r="G322" s="6">
        <v>1.25</v>
      </c>
      <c r="H322" s="3">
        <v>15862</v>
      </c>
      <c r="I322" s="3" t="s">
        <v>5</v>
      </c>
      <c r="J322" s="3" t="str">
        <f t="shared" ref="J322:J385" si="15">IF(D322&lt;1,"Return","Sale")</f>
        <v>Sale</v>
      </c>
      <c r="K322" s="6">
        <f t="shared" ref="K322:K385" si="16">D322*G322</f>
        <v>2.5</v>
      </c>
      <c r="L322" s="6">
        <f t="shared" si="14"/>
        <v>2.5</v>
      </c>
    </row>
    <row r="323" spans="1:12" x14ac:dyDescent="0.35">
      <c r="A323" s="3">
        <v>536401</v>
      </c>
      <c r="B323" s="3">
        <v>22766</v>
      </c>
      <c r="C323" s="3" t="s">
        <v>291</v>
      </c>
      <c r="D323" s="9">
        <v>1</v>
      </c>
      <c r="E323" s="4">
        <v>40515</v>
      </c>
      <c r="F323" s="5">
        <v>0.47291666666666665</v>
      </c>
      <c r="G323" s="6">
        <v>2.95</v>
      </c>
      <c r="H323" s="3">
        <v>15862</v>
      </c>
      <c r="I323" s="3" t="s">
        <v>5</v>
      </c>
      <c r="J323" s="3" t="str">
        <f t="shared" si="15"/>
        <v>Sale</v>
      </c>
      <c r="K323" s="6">
        <f t="shared" si="16"/>
        <v>2.95</v>
      </c>
      <c r="L323" s="6">
        <f t="shared" ref="L323:L386" si="17" xml:space="preserve"> ABS(K323)</f>
        <v>2.95</v>
      </c>
    </row>
    <row r="324" spans="1:12" x14ac:dyDescent="0.35">
      <c r="A324" s="3">
        <v>536401</v>
      </c>
      <c r="B324" s="3">
        <v>22451</v>
      </c>
      <c r="C324" s="3" t="s">
        <v>292</v>
      </c>
      <c r="D324" s="9">
        <v>1</v>
      </c>
      <c r="E324" s="4">
        <v>40516</v>
      </c>
      <c r="F324" s="5">
        <v>0.47291666666666665</v>
      </c>
      <c r="G324" s="6">
        <v>3.35</v>
      </c>
      <c r="H324" s="3">
        <v>15862</v>
      </c>
      <c r="I324" s="3" t="s">
        <v>5</v>
      </c>
      <c r="J324" s="3" t="str">
        <f t="shared" si="15"/>
        <v>Sale</v>
      </c>
      <c r="K324" s="6">
        <f t="shared" si="16"/>
        <v>3.35</v>
      </c>
      <c r="L324" s="6">
        <f t="shared" si="17"/>
        <v>3.35</v>
      </c>
    </row>
    <row r="325" spans="1:12" x14ac:dyDescent="0.35">
      <c r="A325" s="3">
        <v>536401</v>
      </c>
      <c r="B325" s="3">
        <v>22549</v>
      </c>
      <c r="C325" s="3" t="s">
        <v>293</v>
      </c>
      <c r="D325" s="9">
        <v>1</v>
      </c>
      <c r="E325" s="4">
        <v>40517</v>
      </c>
      <c r="F325" s="5">
        <v>0.47291666666666665</v>
      </c>
      <c r="G325" s="6">
        <v>1.45</v>
      </c>
      <c r="H325" s="3">
        <v>15862</v>
      </c>
      <c r="I325" s="3" t="s">
        <v>5</v>
      </c>
      <c r="J325" s="3" t="str">
        <f t="shared" si="15"/>
        <v>Sale</v>
      </c>
      <c r="K325" s="6">
        <f t="shared" si="16"/>
        <v>1.45</v>
      </c>
      <c r="L325" s="6">
        <f t="shared" si="17"/>
        <v>1.45</v>
      </c>
    </row>
    <row r="326" spans="1:12" x14ac:dyDescent="0.35">
      <c r="A326" s="3">
        <v>536401</v>
      </c>
      <c r="B326" s="3">
        <v>84744</v>
      </c>
      <c r="C326" s="3" t="s">
        <v>294</v>
      </c>
      <c r="D326" s="9">
        <v>1</v>
      </c>
      <c r="E326" s="4">
        <v>40518</v>
      </c>
      <c r="F326" s="5">
        <v>0.47291666666666665</v>
      </c>
      <c r="G326" s="6">
        <v>1.25</v>
      </c>
      <c r="H326" s="3">
        <v>15862</v>
      </c>
      <c r="I326" s="3" t="s">
        <v>5</v>
      </c>
      <c r="J326" s="3" t="str">
        <f t="shared" si="15"/>
        <v>Sale</v>
      </c>
      <c r="K326" s="6">
        <f t="shared" si="16"/>
        <v>1.25</v>
      </c>
      <c r="L326" s="6">
        <f t="shared" si="17"/>
        <v>1.25</v>
      </c>
    </row>
    <row r="327" spans="1:12" x14ac:dyDescent="0.35">
      <c r="A327" s="3">
        <v>536401</v>
      </c>
      <c r="B327" s="3" t="s">
        <v>38</v>
      </c>
      <c r="C327" s="3" t="s">
        <v>295</v>
      </c>
      <c r="D327" s="9">
        <v>2</v>
      </c>
      <c r="E327" s="4">
        <v>40519</v>
      </c>
      <c r="F327" s="5">
        <v>0.47291666666666665</v>
      </c>
      <c r="G327" s="6">
        <v>1.25</v>
      </c>
      <c r="H327" s="3">
        <v>15862</v>
      </c>
      <c r="I327" s="3" t="s">
        <v>5</v>
      </c>
      <c r="J327" s="3" t="str">
        <f t="shared" si="15"/>
        <v>Sale</v>
      </c>
      <c r="K327" s="6">
        <f t="shared" si="16"/>
        <v>2.5</v>
      </c>
      <c r="L327" s="6">
        <f t="shared" si="17"/>
        <v>2.5</v>
      </c>
    </row>
    <row r="328" spans="1:12" x14ac:dyDescent="0.35">
      <c r="A328" s="3">
        <v>536401</v>
      </c>
      <c r="B328" s="3">
        <v>21328</v>
      </c>
      <c r="C328" s="3" t="s">
        <v>296</v>
      </c>
      <c r="D328" s="9">
        <v>1</v>
      </c>
      <c r="E328" s="4">
        <v>40520</v>
      </c>
      <c r="F328" s="5">
        <v>0.47291666666666665</v>
      </c>
      <c r="G328" s="6">
        <v>1.65</v>
      </c>
      <c r="H328" s="3">
        <v>15862</v>
      </c>
      <c r="I328" s="3" t="s">
        <v>5</v>
      </c>
      <c r="J328" s="3" t="str">
        <f t="shared" si="15"/>
        <v>Sale</v>
      </c>
      <c r="K328" s="6">
        <f t="shared" si="16"/>
        <v>1.65</v>
      </c>
      <c r="L328" s="6">
        <f t="shared" si="17"/>
        <v>1.65</v>
      </c>
    </row>
    <row r="329" spans="1:12" x14ac:dyDescent="0.35">
      <c r="A329" s="3">
        <v>536401</v>
      </c>
      <c r="B329" s="3">
        <v>22961</v>
      </c>
      <c r="C329" s="3" t="s">
        <v>146</v>
      </c>
      <c r="D329" s="9">
        <v>4</v>
      </c>
      <c r="E329" s="4">
        <v>40521</v>
      </c>
      <c r="F329" s="5">
        <v>0.47291666666666665</v>
      </c>
      <c r="G329" s="6">
        <v>1.45</v>
      </c>
      <c r="H329" s="3">
        <v>15862</v>
      </c>
      <c r="I329" s="3" t="s">
        <v>5</v>
      </c>
      <c r="J329" s="3" t="str">
        <f t="shared" si="15"/>
        <v>Sale</v>
      </c>
      <c r="K329" s="6">
        <f t="shared" si="16"/>
        <v>5.8</v>
      </c>
      <c r="L329" s="6">
        <f t="shared" si="17"/>
        <v>5.8</v>
      </c>
    </row>
    <row r="330" spans="1:12" x14ac:dyDescent="0.35">
      <c r="A330" s="3">
        <v>536401</v>
      </c>
      <c r="B330" s="3" t="s">
        <v>39</v>
      </c>
      <c r="C330" s="3" t="s">
        <v>297</v>
      </c>
      <c r="D330" s="9">
        <v>1</v>
      </c>
      <c r="E330" s="4">
        <v>40522</v>
      </c>
      <c r="F330" s="5">
        <v>0.47291666666666665</v>
      </c>
      <c r="G330" s="6">
        <v>1.25</v>
      </c>
      <c r="H330" s="3">
        <v>15862</v>
      </c>
      <c r="I330" s="3" t="s">
        <v>5</v>
      </c>
      <c r="J330" s="3" t="str">
        <f t="shared" si="15"/>
        <v>Sale</v>
      </c>
      <c r="K330" s="6">
        <f t="shared" si="16"/>
        <v>1.25</v>
      </c>
      <c r="L330" s="6">
        <f t="shared" si="17"/>
        <v>1.25</v>
      </c>
    </row>
    <row r="331" spans="1:12" x14ac:dyDescent="0.35">
      <c r="A331" s="3">
        <v>536401</v>
      </c>
      <c r="B331" s="3">
        <v>22473</v>
      </c>
      <c r="C331" s="3" t="s">
        <v>298</v>
      </c>
      <c r="D331" s="9">
        <v>1</v>
      </c>
      <c r="E331" s="4">
        <v>40523</v>
      </c>
      <c r="F331" s="5">
        <v>0.47291666666666665</v>
      </c>
      <c r="G331" s="6">
        <v>4.95</v>
      </c>
      <c r="H331" s="3">
        <v>15862</v>
      </c>
      <c r="I331" s="3" t="s">
        <v>5</v>
      </c>
      <c r="J331" s="3" t="str">
        <f t="shared" si="15"/>
        <v>Sale</v>
      </c>
      <c r="K331" s="6">
        <f t="shared" si="16"/>
        <v>4.95</v>
      </c>
      <c r="L331" s="6">
        <f t="shared" si="17"/>
        <v>4.95</v>
      </c>
    </row>
    <row r="332" spans="1:12" x14ac:dyDescent="0.35">
      <c r="A332" s="3">
        <v>536401</v>
      </c>
      <c r="B332" s="3" t="s">
        <v>40</v>
      </c>
      <c r="C332" s="3" t="s">
        <v>299</v>
      </c>
      <c r="D332" s="9">
        <v>2</v>
      </c>
      <c r="E332" s="4">
        <v>40524</v>
      </c>
      <c r="F332" s="5">
        <v>0.47291666666666665</v>
      </c>
      <c r="G332" s="6">
        <v>3.75</v>
      </c>
      <c r="H332" s="3">
        <v>15862</v>
      </c>
      <c r="I332" s="3" t="s">
        <v>5</v>
      </c>
      <c r="J332" s="3" t="str">
        <f t="shared" si="15"/>
        <v>Sale</v>
      </c>
      <c r="K332" s="6">
        <f t="shared" si="16"/>
        <v>7.5</v>
      </c>
      <c r="L332" s="6">
        <f t="shared" si="17"/>
        <v>7.5</v>
      </c>
    </row>
    <row r="333" spans="1:12" x14ac:dyDescent="0.35">
      <c r="A333" s="3">
        <v>536401</v>
      </c>
      <c r="B333" s="3" t="s">
        <v>41</v>
      </c>
      <c r="C333" s="3" t="s">
        <v>300</v>
      </c>
      <c r="D333" s="9">
        <v>2</v>
      </c>
      <c r="E333" s="4">
        <v>40525</v>
      </c>
      <c r="F333" s="5">
        <v>0.47291666666666665</v>
      </c>
      <c r="G333" s="6">
        <v>1.25</v>
      </c>
      <c r="H333" s="3">
        <v>15862</v>
      </c>
      <c r="I333" s="3" t="s">
        <v>5</v>
      </c>
      <c r="J333" s="3" t="str">
        <f t="shared" si="15"/>
        <v>Sale</v>
      </c>
      <c r="K333" s="6">
        <f t="shared" si="16"/>
        <v>2.5</v>
      </c>
      <c r="L333" s="6">
        <f t="shared" si="17"/>
        <v>2.5</v>
      </c>
    </row>
    <row r="334" spans="1:12" x14ac:dyDescent="0.35">
      <c r="A334" s="3">
        <v>536401</v>
      </c>
      <c r="B334" s="3">
        <v>22767</v>
      </c>
      <c r="C334" s="3" t="s">
        <v>301</v>
      </c>
      <c r="D334" s="9">
        <v>2</v>
      </c>
      <c r="E334" s="4">
        <v>40526</v>
      </c>
      <c r="F334" s="5">
        <v>0.47291666666666665</v>
      </c>
      <c r="G334" s="6">
        <v>9.9499999999999993</v>
      </c>
      <c r="H334" s="3">
        <v>15862</v>
      </c>
      <c r="I334" s="3" t="s">
        <v>5</v>
      </c>
      <c r="J334" s="3" t="str">
        <f t="shared" si="15"/>
        <v>Sale</v>
      </c>
      <c r="K334" s="6">
        <f t="shared" si="16"/>
        <v>19.899999999999999</v>
      </c>
      <c r="L334" s="6">
        <f t="shared" si="17"/>
        <v>19.899999999999999</v>
      </c>
    </row>
    <row r="335" spans="1:12" x14ac:dyDescent="0.35">
      <c r="A335" s="3">
        <v>536401</v>
      </c>
      <c r="B335" s="3">
        <v>22768</v>
      </c>
      <c r="C335" s="3" t="s">
        <v>302</v>
      </c>
      <c r="D335" s="9">
        <v>1</v>
      </c>
      <c r="E335" s="4">
        <v>40527</v>
      </c>
      <c r="F335" s="5">
        <v>0.47291666666666665</v>
      </c>
      <c r="G335" s="6">
        <v>9.9499999999999993</v>
      </c>
      <c r="H335" s="3">
        <v>15862</v>
      </c>
      <c r="I335" s="3" t="s">
        <v>5</v>
      </c>
      <c r="J335" s="3" t="str">
        <f t="shared" si="15"/>
        <v>Sale</v>
      </c>
      <c r="K335" s="6">
        <f t="shared" si="16"/>
        <v>9.9499999999999993</v>
      </c>
      <c r="L335" s="6">
        <f t="shared" si="17"/>
        <v>9.9499999999999993</v>
      </c>
    </row>
    <row r="336" spans="1:12" x14ac:dyDescent="0.35">
      <c r="A336" s="3">
        <v>536401</v>
      </c>
      <c r="B336" s="3">
        <v>21463</v>
      </c>
      <c r="C336" s="3" t="s">
        <v>303</v>
      </c>
      <c r="D336" s="9">
        <v>1</v>
      </c>
      <c r="E336" s="4">
        <v>40528</v>
      </c>
      <c r="F336" s="5">
        <v>0.47291666666666665</v>
      </c>
      <c r="G336" s="6">
        <v>5.95</v>
      </c>
      <c r="H336" s="3">
        <v>15862</v>
      </c>
      <c r="I336" s="3" t="s">
        <v>5</v>
      </c>
      <c r="J336" s="3" t="str">
        <f t="shared" si="15"/>
        <v>Sale</v>
      </c>
      <c r="K336" s="6">
        <f t="shared" si="16"/>
        <v>5.95</v>
      </c>
      <c r="L336" s="6">
        <f t="shared" si="17"/>
        <v>5.95</v>
      </c>
    </row>
    <row r="337" spans="1:12" x14ac:dyDescent="0.35">
      <c r="A337" s="3">
        <v>536401</v>
      </c>
      <c r="B337" s="3">
        <v>21464</v>
      </c>
      <c r="C337" s="3" t="s">
        <v>304</v>
      </c>
      <c r="D337" s="9">
        <v>1</v>
      </c>
      <c r="E337" s="4">
        <v>40529</v>
      </c>
      <c r="F337" s="5">
        <v>0.47291666666666665</v>
      </c>
      <c r="G337" s="6">
        <v>4.25</v>
      </c>
      <c r="H337" s="3">
        <v>15862</v>
      </c>
      <c r="I337" s="3" t="s">
        <v>5</v>
      </c>
      <c r="J337" s="3" t="str">
        <f t="shared" si="15"/>
        <v>Sale</v>
      </c>
      <c r="K337" s="6">
        <f t="shared" si="16"/>
        <v>4.25</v>
      </c>
      <c r="L337" s="6">
        <f t="shared" si="17"/>
        <v>4.25</v>
      </c>
    </row>
    <row r="338" spans="1:12" x14ac:dyDescent="0.35">
      <c r="A338" s="3">
        <v>536401</v>
      </c>
      <c r="B338" s="3">
        <v>20820</v>
      </c>
      <c r="C338" s="3" t="s">
        <v>305</v>
      </c>
      <c r="D338" s="9">
        <v>3</v>
      </c>
      <c r="E338" s="4">
        <v>40530</v>
      </c>
      <c r="F338" s="5">
        <v>0.47291666666666665</v>
      </c>
      <c r="G338" s="6">
        <v>4.95</v>
      </c>
      <c r="H338" s="3">
        <v>15862</v>
      </c>
      <c r="I338" s="3" t="s">
        <v>5</v>
      </c>
      <c r="J338" s="3" t="str">
        <f t="shared" si="15"/>
        <v>Sale</v>
      </c>
      <c r="K338" s="6">
        <f t="shared" si="16"/>
        <v>14.850000000000001</v>
      </c>
      <c r="L338" s="6">
        <f t="shared" si="17"/>
        <v>14.850000000000001</v>
      </c>
    </row>
    <row r="339" spans="1:12" x14ac:dyDescent="0.35">
      <c r="A339" s="3">
        <v>536401</v>
      </c>
      <c r="B339" s="3">
        <v>85150</v>
      </c>
      <c r="C339" s="3" t="s">
        <v>306</v>
      </c>
      <c r="D339" s="9">
        <v>1</v>
      </c>
      <c r="E339" s="4">
        <v>40531</v>
      </c>
      <c r="F339" s="5">
        <v>0.47291666666666665</v>
      </c>
      <c r="G339" s="6">
        <v>2.5499999999999998</v>
      </c>
      <c r="H339" s="3">
        <v>15862</v>
      </c>
      <c r="I339" s="3" t="s">
        <v>5</v>
      </c>
      <c r="J339" s="3" t="str">
        <f t="shared" si="15"/>
        <v>Sale</v>
      </c>
      <c r="K339" s="6">
        <f t="shared" si="16"/>
        <v>2.5499999999999998</v>
      </c>
      <c r="L339" s="6">
        <f t="shared" si="17"/>
        <v>2.5499999999999998</v>
      </c>
    </row>
    <row r="340" spans="1:12" x14ac:dyDescent="0.35">
      <c r="A340" s="3">
        <v>536401</v>
      </c>
      <c r="B340" s="3">
        <v>22117</v>
      </c>
      <c r="C340" s="3" t="s">
        <v>307</v>
      </c>
      <c r="D340" s="9">
        <v>1</v>
      </c>
      <c r="E340" s="4">
        <v>40532</v>
      </c>
      <c r="F340" s="5">
        <v>0.47291666666666665</v>
      </c>
      <c r="G340" s="6">
        <v>2.95</v>
      </c>
      <c r="H340" s="3">
        <v>15862</v>
      </c>
      <c r="I340" s="3" t="s">
        <v>5</v>
      </c>
      <c r="J340" s="3" t="str">
        <f t="shared" si="15"/>
        <v>Sale</v>
      </c>
      <c r="K340" s="6">
        <f t="shared" si="16"/>
        <v>2.95</v>
      </c>
      <c r="L340" s="6">
        <f t="shared" si="17"/>
        <v>2.95</v>
      </c>
    </row>
    <row r="341" spans="1:12" x14ac:dyDescent="0.35">
      <c r="A341" s="3">
        <v>536401</v>
      </c>
      <c r="B341" s="3">
        <v>21169</v>
      </c>
      <c r="C341" s="3" t="s">
        <v>158</v>
      </c>
      <c r="D341" s="9">
        <v>2</v>
      </c>
      <c r="E341" s="4">
        <v>40533</v>
      </c>
      <c r="F341" s="5">
        <v>0.47291666666666665</v>
      </c>
      <c r="G341" s="6">
        <v>1.69</v>
      </c>
      <c r="H341" s="3">
        <v>15862</v>
      </c>
      <c r="I341" s="3" t="s">
        <v>5</v>
      </c>
      <c r="J341" s="3" t="str">
        <f t="shared" si="15"/>
        <v>Sale</v>
      </c>
      <c r="K341" s="6">
        <f t="shared" si="16"/>
        <v>3.38</v>
      </c>
      <c r="L341" s="6">
        <f t="shared" si="17"/>
        <v>3.38</v>
      </c>
    </row>
    <row r="342" spans="1:12" x14ac:dyDescent="0.35">
      <c r="A342" s="3">
        <v>536401</v>
      </c>
      <c r="B342" s="3">
        <v>48129</v>
      </c>
      <c r="C342" s="3" t="s">
        <v>308</v>
      </c>
      <c r="D342" s="9">
        <v>1</v>
      </c>
      <c r="E342" s="4">
        <v>40534</v>
      </c>
      <c r="F342" s="5">
        <v>0.47291666666666665</v>
      </c>
      <c r="G342" s="6">
        <v>7.95</v>
      </c>
      <c r="H342" s="3">
        <v>15862</v>
      </c>
      <c r="I342" s="3" t="s">
        <v>5</v>
      </c>
      <c r="J342" s="3" t="str">
        <f t="shared" si="15"/>
        <v>Sale</v>
      </c>
      <c r="K342" s="6">
        <f t="shared" si="16"/>
        <v>7.95</v>
      </c>
      <c r="L342" s="6">
        <f t="shared" si="17"/>
        <v>7.95</v>
      </c>
    </row>
    <row r="343" spans="1:12" x14ac:dyDescent="0.35">
      <c r="A343" s="3">
        <v>536401</v>
      </c>
      <c r="B343" s="3">
        <v>82580</v>
      </c>
      <c r="C343" s="3" t="s">
        <v>309</v>
      </c>
      <c r="D343" s="9">
        <v>1</v>
      </c>
      <c r="E343" s="4">
        <v>40535</v>
      </c>
      <c r="F343" s="5">
        <v>0.47291666666666665</v>
      </c>
      <c r="G343" s="6">
        <v>0.55000000000000004</v>
      </c>
      <c r="H343" s="3">
        <v>15862</v>
      </c>
      <c r="I343" s="3" t="s">
        <v>5</v>
      </c>
      <c r="J343" s="3" t="str">
        <f t="shared" si="15"/>
        <v>Sale</v>
      </c>
      <c r="K343" s="6">
        <f t="shared" si="16"/>
        <v>0.55000000000000004</v>
      </c>
      <c r="L343" s="6">
        <f t="shared" si="17"/>
        <v>0.55000000000000004</v>
      </c>
    </row>
    <row r="344" spans="1:12" x14ac:dyDescent="0.35">
      <c r="A344" s="3">
        <v>536401</v>
      </c>
      <c r="B344" s="3">
        <v>82578</v>
      </c>
      <c r="C344" s="3" t="s">
        <v>310</v>
      </c>
      <c r="D344" s="9">
        <v>1</v>
      </c>
      <c r="E344" s="4">
        <v>40536</v>
      </c>
      <c r="F344" s="5">
        <v>0.47291666666666665</v>
      </c>
      <c r="G344" s="6">
        <v>0.55000000000000004</v>
      </c>
      <c r="H344" s="3">
        <v>15862</v>
      </c>
      <c r="I344" s="3" t="s">
        <v>5</v>
      </c>
      <c r="J344" s="3" t="str">
        <f t="shared" si="15"/>
        <v>Sale</v>
      </c>
      <c r="K344" s="6">
        <f t="shared" si="16"/>
        <v>0.55000000000000004</v>
      </c>
      <c r="L344" s="6">
        <f t="shared" si="17"/>
        <v>0.55000000000000004</v>
      </c>
    </row>
    <row r="345" spans="1:12" x14ac:dyDescent="0.35">
      <c r="A345" s="3">
        <v>536401</v>
      </c>
      <c r="B345" s="3">
        <v>82581</v>
      </c>
      <c r="C345" s="3" t="s">
        <v>311</v>
      </c>
      <c r="D345" s="9">
        <v>2</v>
      </c>
      <c r="E345" s="4">
        <v>40537</v>
      </c>
      <c r="F345" s="5">
        <v>0.47291666666666665</v>
      </c>
      <c r="G345" s="6">
        <v>0.55000000000000004</v>
      </c>
      <c r="H345" s="3">
        <v>15862</v>
      </c>
      <c r="I345" s="3" t="s">
        <v>5</v>
      </c>
      <c r="J345" s="3" t="str">
        <f t="shared" si="15"/>
        <v>Sale</v>
      </c>
      <c r="K345" s="6">
        <f t="shared" si="16"/>
        <v>1.1000000000000001</v>
      </c>
      <c r="L345" s="6">
        <f t="shared" si="17"/>
        <v>1.1000000000000001</v>
      </c>
    </row>
    <row r="346" spans="1:12" x14ac:dyDescent="0.35">
      <c r="A346" s="3">
        <v>536401</v>
      </c>
      <c r="B346" s="3">
        <v>22413</v>
      </c>
      <c r="C346" s="3" t="s">
        <v>312</v>
      </c>
      <c r="D346" s="9">
        <v>4</v>
      </c>
      <c r="E346" s="4">
        <v>40538</v>
      </c>
      <c r="F346" s="5">
        <v>0.47291666666666665</v>
      </c>
      <c r="G346" s="6">
        <v>2.95</v>
      </c>
      <c r="H346" s="3">
        <v>15862</v>
      </c>
      <c r="I346" s="3" t="s">
        <v>5</v>
      </c>
      <c r="J346" s="3" t="str">
        <f t="shared" si="15"/>
        <v>Sale</v>
      </c>
      <c r="K346" s="6">
        <f t="shared" si="16"/>
        <v>11.8</v>
      </c>
      <c r="L346" s="6">
        <f t="shared" si="17"/>
        <v>11.8</v>
      </c>
    </row>
    <row r="347" spans="1:12" x14ac:dyDescent="0.35">
      <c r="A347" s="3">
        <v>536401</v>
      </c>
      <c r="B347" s="3">
        <v>21907</v>
      </c>
      <c r="C347" s="3" t="s">
        <v>313</v>
      </c>
      <c r="D347" s="9">
        <v>2</v>
      </c>
      <c r="E347" s="4">
        <v>40539</v>
      </c>
      <c r="F347" s="5">
        <v>0.47291666666666665</v>
      </c>
      <c r="G347" s="6">
        <v>2.1</v>
      </c>
      <c r="H347" s="3">
        <v>15862</v>
      </c>
      <c r="I347" s="3" t="s">
        <v>5</v>
      </c>
      <c r="J347" s="3" t="str">
        <f t="shared" si="15"/>
        <v>Sale</v>
      </c>
      <c r="K347" s="6">
        <f t="shared" si="16"/>
        <v>4.2</v>
      </c>
      <c r="L347" s="6">
        <f t="shared" si="17"/>
        <v>4.2</v>
      </c>
    </row>
    <row r="348" spans="1:12" x14ac:dyDescent="0.35">
      <c r="A348" s="3">
        <v>536401</v>
      </c>
      <c r="B348" s="3">
        <v>22441</v>
      </c>
      <c r="C348" s="3" t="s">
        <v>314</v>
      </c>
      <c r="D348" s="9">
        <v>1</v>
      </c>
      <c r="E348" s="4">
        <v>40540</v>
      </c>
      <c r="F348" s="5">
        <v>0.47291666666666665</v>
      </c>
      <c r="G348" s="6">
        <v>2.1</v>
      </c>
      <c r="H348" s="3">
        <v>15862</v>
      </c>
      <c r="I348" s="3" t="s">
        <v>5</v>
      </c>
      <c r="J348" s="3" t="str">
        <f t="shared" si="15"/>
        <v>Sale</v>
      </c>
      <c r="K348" s="6">
        <f t="shared" si="16"/>
        <v>2.1</v>
      </c>
      <c r="L348" s="6">
        <f t="shared" si="17"/>
        <v>2.1</v>
      </c>
    </row>
    <row r="349" spans="1:12" x14ac:dyDescent="0.35">
      <c r="A349" s="3">
        <v>536401</v>
      </c>
      <c r="B349" s="3">
        <v>21122</v>
      </c>
      <c r="C349" s="3" t="s">
        <v>315</v>
      </c>
      <c r="D349" s="9">
        <v>1</v>
      </c>
      <c r="E349" s="4">
        <v>40541</v>
      </c>
      <c r="F349" s="5">
        <v>0.47291666666666665</v>
      </c>
      <c r="G349" s="6">
        <v>1.25</v>
      </c>
      <c r="H349" s="3">
        <v>15862</v>
      </c>
      <c r="I349" s="3" t="s">
        <v>5</v>
      </c>
      <c r="J349" s="3" t="str">
        <f t="shared" si="15"/>
        <v>Sale</v>
      </c>
      <c r="K349" s="6">
        <f t="shared" si="16"/>
        <v>1.25</v>
      </c>
      <c r="L349" s="6">
        <f t="shared" si="17"/>
        <v>1.25</v>
      </c>
    </row>
    <row r="350" spans="1:12" x14ac:dyDescent="0.35">
      <c r="A350" s="3">
        <v>536401</v>
      </c>
      <c r="B350" s="3">
        <v>22851</v>
      </c>
      <c r="C350" s="3" t="s">
        <v>316</v>
      </c>
      <c r="D350" s="9">
        <v>1</v>
      </c>
      <c r="E350" s="4">
        <v>40542</v>
      </c>
      <c r="F350" s="5">
        <v>0.47291666666666665</v>
      </c>
      <c r="G350" s="6">
        <v>0.85</v>
      </c>
      <c r="H350" s="3">
        <v>15862</v>
      </c>
      <c r="I350" s="3" t="s">
        <v>5</v>
      </c>
      <c r="J350" s="3" t="str">
        <f t="shared" si="15"/>
        <v>Sale</v>
      </c>
      <c r="K350" s="6">
        <f t="shared" si="16"/>
        <v>0.85</v>
      </c>
      <c r="L350" s="6">
        <f t="shared" si="17"/>
        <v>0.85</v>
      </c>
    </row>
    <row r="351" spans="1:12" x14ac:dyDescent="0.35">
      <c r="A351" s="3">
        <v>536401</v>
      </c>
      <c r="B351" s="3">
        <v>84991</v>
      </c>
      <c r="C351" s="3" t="s">
        <v>140</v>
      </c>
      <c r="D351" s="9">
        <v>3</v>
      </c>
      <c r="E351" s="4">
        <v>40543</v>
      </c>
      <c r="F351" s="5">
        <v>0.47291666666666665</v>
      </c>
      <c r="G351" s="6">
        <v>0.55000000000000004</v>
      </c>
      <c r="H351" s="3">
        <v>15862</v>
      </c>
      <c r="I351" s="3" t="s">
        <v>5</v>
      </c>
      <c r="J351" s="3" t="str">
        <f t="shared" si="15"/>
        <v>Sale</v>
      </c>
      <c r="K351" s="6">
        <f t="shared" si="16"/>
        <v>1.6500000000000001</v>
      </c>
      <c r="L351" s="6">
        <f t="shared" si="17"/>
        <v>1.6500000000000001</v>
      </c>
    </row>
    <row r="352" spans="1:12" x14ac:dyDescent="0.35">
      <c r="A352" s="3">
        <v>536401</v>
      </c>
      <c r="B352" s="3">
        <v>22810</v>
      </c>
      <c r="C352" s="3" t="s">
        <v>317</v>
      </c>
      <c r="D352" s="9">
        <v>1</v>
      </c>
      <c r="E352" s="4">
        <v>40544</v>
      </c>
      <c r="F352" s="5">
        <v>0.47291666666666665</v>
      </c>
      <c r="G352" s="6">
        <v>2.95</v>
      </c>
      <c r="H352" s="3">
        <v>15862</v>
      </c>
      <c r="I352" s="3" t="s">
        <v>5</v>
      </c>
      <c r="J352" s="3" t="str">
        <f t="shared" si="15"/>
        <v>Sale</v>
      </c>
      <c r="K352" s="6">
        <f t="shared" si="16"/>
        <v>2.95</v>
      </c>
      <c r="L352" s="6">
        <f t="shared" si="17"/>
        <v>2.95</v>
      </c>
    </row>
    <row r="353" spans="1:12" x14ac:dyDescent="0.35">
      <c r="A353" s="3">
        <v>536401</v>
      </c>
      <c r="B353" s="3">
        <v>22809</v>
      </c>
      <c r="C353" s="3" t="s">
        <v>318</v>
      </c>
      <c r="D353" s="9">
        <v>1</v>
      </c>
      <c r="E353" s="4">
        <v>40545</v>
      </c>
      <c r="F353" s="5">
        <v>0.47291666666666665</v>
      </c>
      <c r="G353" s="6">
        <v>2.95</v>
      </c>
      <c r="H353" s="3">
        <v>15862</v>
      </c>
      <c r="I353" s="3" t="s">
        <v>5</v>
      </c>
      <c r="J353" s="3" t="str">
        <f t="shared" si="15"/>
        <v>Sale</v>
      </c>
      <c r="K353" s="6">
        <f t="shared" si="16"/>
        <v>2.95</v>
      </c>
      <c r="L353" s="6">
        <f t="shared" si="17"/>
        <v>2.95</v>
      </c>
    </row>
    <row r="354" spans="1:12" x14ac:dyDescent="0.35">
      <c r="A354" s="3">
        <v>536401</v>
      </c>
      <c r="B354" s="3">
        <v>22435</v>
      </c>
      <c r="C354" s="3" t="s">
        <v>319</v>
      </c>
      <c r="D354" s="9">
        <v>2</v>
      </c>
      <c r="E354" s="4">
        <v>40546</v>
      </c>
      <c r="F354" s="5">
        <v>0.47291666666666665</v>
      </c>
      <c r="G354" s="6">
        <v>1.25</v>
      </c>
      <c r="H354" s="3">
        <v>15862</v>
      </c>
      <c r="I354" s="3" t="s">
        <v>5</v>
      </c>
      <c r="J354" s="3" t="str">
        <f t="shared" si="15"/>
        <v>Sale</v>
      </c>
      <c r="K354" s="6">
        <f t="shared" si="16"/>
        <v>2.5</v>
      </c>
      <c r="L354" s="6">
        <f t="shared" si="17"/>
        <v>2.5</v>
      </c>
    </row>
    <row r="355" spans="1:12" x14ac:dyDescent="0.35">
      <c r="A355" s="3">
        <v>536401</v>
      </c>
      <c r="B355" s="3">
        <v>20966</v>
      </c>
      <c r="C355" s="3" t="s">
        <v>320</v>
      </c>
      <c r="D355" s="9">
        <v>3</v>
      </c>
      <c r="E355" s="4">
        <v>40547</v>
      </c>
      <c r="F355" s="5">
        <v>0.47291666666666665</v>
      </c>
      <c r="G355" s="6">
        <v>1.25</v>
      </c>
      <c r="H355" s="3">
        <v>15862</v>
      </c>
      <c r="I355" s="3" t="s">
        <v>5</v>
      </c>
      <c r="J355" s="3" t="str">
        <f t="shared" si="15"/>
        <v>Sale</v>
      </c>
      <c r="K355" s="6">
        <f t="shared" si="16"/>
        <v>3.75</v>
      </c>
      <c r="L355" s="6">
        <f t="shared" si="17"/>
        <v>3.75</v>
      </c>
    </row>
    <row r="356" spans="1:12" x14ac:dyDescent="0.35">
      <c r="A356" s="3">
        <v>536401</v>
      </c>
      <c r="B356" s="3">
        <v>20963</v>
      </c>
      <c r="C356" s="3" t="s">
        <v>321</v>
      </c>
      <c r="D356" s="9">
        <v>1</v>
      </c>
      <c r="E356" s="4">
        <v>40548</v>
      </c>
      <c r="F356" s="5">
        <v>0.47291666666666665</v>
      </c>
      <c r="G356" s="6">
        <v>1.25</v>
      </c>
      <c r="H356" s="3">
        <v>15862</v>
      </c>
      <c r="I356" s="3" t="s">
        <v>5</v>
      </c>
      <c r="J356" s="3" t="str">
        <f t="shared" si="15"/>
        <v>Sale</v>
      </c>
      <c r="K356" s="6">
        <f t="shared" si="16"/>
        <v>1.25</v>
      </c>
      <c r="L356" s="6">
        <f t="shared" si="17"/>
        <v>1.25</v>
      </c>
    </row>
    <row r="357" spans="1:12" x14ac:dyDescent="0.35">
      <c r="A357" s="3">
        <v>536401</v>
      </c>
      <c r="B357" s="3">
        <v>20961</v>
      </c>
      <c r="C357" s="3" t="s">
        <v>322</v>
      </c>
      <c r="D357" s="9">
        <v>1</v>
      </c>
      <c r="E357" s="4">
        <v>40549</v>
      </c>
      <c r="F357" s="5">
        <v>0.47291666666666665</v>
      </c>
      <c r="G357" s="6">
        <v>1.25</v>
      </c>
      <c r="H357" s="3">
        <v>15862</v>
      </c>
      <c r="I357" s="3" t="s">
        <v>5</v>
      </c>
      <c r="J357" s="3" t="str">
        <f t="shared" si="15"/>
        <v>Sale</v>
      </c>
      <c r="K357" s="6">
        <f t="shared" si="16"/>
        <v>1.25</v>
      </c>
      <c r="L357" s="6">
        <f t="shared" si="17"/>
        <v>1.25</v>
      </c>
    </row>
    <row r="358" spans="1:12" x14ac:dyDescent="0.35">
      <c r="A358" s="3">
        <v>536401</v>
      </c>
      <c r="B358" s="3">
        <v>22068</v>
      </c>
      <c r="C358" s="3" t="s">
        <v>323</v>
      </c>
      <c r="D358" s="9">
        <v>2</v>
      </c>
      <c r="E358" s="4">
        <v>40550</v>
      </c>
      <c r="F358" s="5">
        <v>0.47291666666666665</v>
      </c>
      <c r="G358" s="6">
        <v>1.65</v>
      </c>
      <c r="H358" s="3">
        <v>15862</v>
      </c>
      <c r="I358" s="3" t="s">
        <v>5</v>
      </c>
      <c r="J358" s="3" t="str">
        <f t="shared" si="15"/>
        <v>Sale</v>
      </c>
      <c r="K358" s="6">
        <f t="shared" si="16"/>
        <v>3.3</v>
      </c>
      <c r="L358" s="6">
        <f t="shared" si="17"/>
        <v>3.3</v>
      </c>
    </row>
    <row r="359" spans="1:12" x14ac:dyDescent="0.35">
      <c r="A359" s="3">
        <v>536401</v>
      </c>
      <c r="B359" s="3">
        <v>21743</v>
      </c>
      <c r="C359" s="3" t="s">
        <v>324</v>
      </c>
      <c r="D359" s="9">
        <v>2</v>
      </c>
      <c r="E359" s="4">
        <v>40551</v>
      </c>
      <c r="F359" s="5">
        <v>0.47291666666666665</v>
      </c>
      <c r="G359" s="6">
        <v>2.95</v>
      </c>
      <c r="H359" s="3">
        <v>15862</v>
      </c>
      <c r="I359" s="3" t="s">
        <v>5</v>
      </c>
      <c r="J359" s="3" t="str">
        <f t="shared" si="15"/>
        <v>Sale</v>
      </c>
      <c r="K359" s="6">
        <f t="shared" si="16"/>
        <v>5.9</v>
      </c>
      <c r="L359" s="6">
        <f t="shared" si="17"/>
        <v>5.9</v>
      </c>
    </row>
    <row r="360" spans="1:12" x14ac:dyDescent="0.35">
      <c r="A360" s="3">
        <v>536401</v>
      </c>
      <c r="B360" s="3">
        <v>21744</v>
      </c>
      <c r="C360" s="3" t="s">
        <v>325</v>
      </c>
      <c r="D360" s="9">
        <v>2</v>
      </c>
      <c r="E360" s="4">
        <v>40552</v>
      </c>
      <c r="F360" s="5">
        <v>0.47291666666666665</v>
      </c>
      <c r="G360" s="6">
        <v>2.95</v>
      </c>
      <c r="H360" s="3">
        <v>15862</v>
      </c>
      <c r="I360" s="3" t="s">
        <v>5</v>
      </c>
      <c r="J360" s="3" t="str">
        <f t="shared" si="15"/>
        <v>Sale</v>
      </c>
      <c r="K360" s="6">
        <f t="shared" si="16"/>
        <v>5.9</v>
      </c>
      <c r="L360" s="6">
        <f t="shared" si="17"/>
        <v>5.9</v>
      </c>
    </row>
    <row r="361" spans="1:12" x14ac:dyDescent="0.35">
      <c r="A361" s="3">
        <v>536401</v>
      </c>
      <c r="B361" s="3" t="s">
        <v>42</v>
      </c>
      <c r="C361" s="3" t="s">
        <v>326</v>
      </c>
      <c r="D361" s="9">
        <v>1</v>
      </c>
      <c r="E361" s="4">
        <v>40553</v>
      </c>
      <c r="F361" s="5">
        <v>0.47291666666666665</v>
      </c>
      <c r="G361" s="6">
        <v>5.95</v>
      </c>
      <c r="H361" s="3">
        <v>15862</v>
      </c>
      <c r="I361" s="3" t="s">
        <v>5</v>
      </c>
      <c r="J361" s="3" t="str">
        <f t="shared" si="15"/>
        <v>Sale</v>
      </c>
      <c r="K361" s="6">
        <f t="shared" si="16"/>
        <v>5.95</v>
      </c>
      <c r="L361" s="6">
        <f t="shared" si="17"/>
        <v>5.95</v>
      </c>
    </row>
    <row r="362" spans="1:12" x14ac:dyDescent="0.35">
      <c r="A362" s="3">
        <v>536401</v>
      </c>
      <c r="B362" s="3">
        <v>21592</v>
      </c>
      <c r="C362" s="3" t="s">
        <v>327</v>
      </c>
      <c r="D362" s="9">
        <v>1</v>
      </c>
      <c r="E362" s="4">
        <v>40554</v>
      </c>
      <c r="F362" s="5">
        <v>0.47291666666666665</v>
      </c>
      <c r="G362" s="6">
        <v>1.25</v>
      </c>
      <c r="H362" s="3">
        <v>15862</v>
      </c>
      <c r="I362" s="3" t="s">
        <v>5</v>
      </c>
      <c r="J362" s="3" t="str">
        <f t="shared" si="15"/>
        <v>Sale</v>
      </c>
      <c r="K362" s="6">
        <f t="shared" si="16"/>
        <v>1.25</v>
      </c>
      <c r="L362" s="6">
        <f t="shared" si="17"/>
        <v>1.25</v>
      </c>
    </row>
    <row r="363" spans="1:12" x14ac:dyDescent="0.35">
      <c r="A363" s="3">
        <v>536401</v>
      </c>
      <c r="B363" s="3">
        <v>21587</v>
      </c>
      <c r="C363" s="3" t="s">
        <v>328</v>
      </c>
      <c r="D363" s="9">
        <v>2</v>
      </c>
      <c r="E363" s="4">
        <v>40555</v>
      </c>
      <c r="F363" s="5">
        <v>0.47291666666666665</v>
      </c>
      <c r="G363" s="6">
        <v>2.5499999999999998</v>
      </c>
      <c r="H363" s="3">
        <v>15862</v>
      </c>
      <c r="I363" s="3" t="s">
        <v>5</v>
      </c>
      <c r="J363" s="3" t="str">
        <f t="shared" si="15"/>
        <v>Sale</v>
      </c>
      <c r="K363" s="6">
        <f t="shared" si="16"/>
        <v>5.0999999999999996</v>
      </c>
      <c r="L363" s="6">
        <f t="shared" si="17"/>
        <v>5.0999999999999996</v>
      </c>
    </row>
    <row r="364" spans="1:12" x14ac:dyDescent="0.35">
      <c r="A364" s="3">
        <v>536401</v>
      </c>
      <c r="B364" s="3">
        <v>20992</v>
      </c>
      <c r="C364" s="3" t="s">
        <v>329</v>
      </c>
      <c r="D364" s="9">
        <v>9</v>
      </c>
      <c r="E364" s="4">
        <v>40556</v>
      </c>
      <c r="F364" s="5">
        <v>0.47291666666666665</v>
      </c>
      <c r="G364" s="6">
        <v>0.85</v>
      </c>
      <c r="H364" s="3">
        <v>15862</v>
      </c>
      <c r="I364" s="3" t="s">
        <v>5</v>
      </c>
      <c r="J364" s="3" t="str">
        <f t="shared" si="15"/>
        <v>Sale</v>
      </c>
      <c r="K364" s="6">
        <f t="shared" si="16"/>
        <v>7.6499999999999995</v>
      </c>
      <c r="L364" s="6">
        <f t="shared" si="17"/>
        <v>7.6499999999999995</v>
      </c>
    </row>
    <row r="365" spans="1:12" x14ac:dyDescent="0.35">
      <c r="A365" s="3">
        <v>536401</v>
      </c>
      <c r="B365" s="3">
        <v>22662</v>
      </c>
      <c r="C365" s="3" t="s">
        <v>205</v>
      </c>
      <c r="D365" s="9">
        <v>1</v>
      </c>
      <c r="E365" s="4">
        <v>40557</v>
      </c>
      <c r="F365" s="5">
        <v>0.47291666666666665</v>
      </c>
      <c r="G365" s="6">
        <v>1.65</v>
      </c>
      <c r="H365" s="3">
        <v>15862</v>
      </c>
      <c r="I365" s="3" t="s">
        <v>5</v>
      </c>
      <c r="J365" s="3" t="str">
        <f t="shared" si="15"/>
        <v>Sale</v>
      </c>
      <c r="K365" s="6">
        <f t="shared" si="16"/>
        <v>1.65</v>
      </c>
      <c r="L365" s="6">
        <f t="shared" si="17"/>
        <v>1.65</v>
      </c>
    </row>
    <row r="366" spans="1:12" x14ac:dyDescent="0.35">
      <c r="A366" s="3">
        <v>536401</v>
      </c>
      <c r="B366" s="3" t="s">
        <v>4</v>
      </c>
      <c r="C366" s="3" t="s">
        <v>68</v>
      </c>
      <c r="D366" s="9">
        <v>4</v>
      </c>
      <c r="E366" s="4">
        <v>40558</v>
      </c>
      <c r="F366" s="5">
        <v>0.47291666666666665</v>
      </c>
      <c r="G366" s="6">
        <v>2.95</v>
      </c>
      <c r="H366" s="3">
        <v>15862</v>
      </c>
      <c r="I366" s="3" t="s">
        <v>5</v>
      </c>
      <c r="J366" s="3" t="str">
        <f t="shared" si="15"/>
        <v>Sale</v>
      </c>
      <c r="K366" s="6">
        <f t="shared" si="16"/>
        <v>11.8</v>
      </c>
      <c r="L366" s="6">
        <f t="shared" si="17"/>
        <v>11.8</v>
      </c>
    </row>
    <row r="367" spans="1:12" x14ac:dyDescent="0.35">
      <c r="A367" s="3">
        <v>536401</v>
      </c>
      <c r="B367" s="3">
        <v>22804</v>
      </c>
      <c r="C367" s="3" t="s">
        <v>330</v>
      </c>
      <c r="D367" s="9">
        <v>3</v>
      </c>
      <c r="E367" s="4">
        <v>40559</v>
      </c>
      <c r="F367" s="5">
        <v>0.47291666666666665</v>
      </c>
      <c r="G367" s="6">
        <v>2.95</v>
      </c>
      <c r="H367" s="3">
        <v>15862</v>
      </c>
      <c r="I367" s="3" t="s">
        <v>5</v>
      </c>
      <c r="J367" s="3" t="str">
        <f t="shared" si="15"/>
        <v>Sale</v>
      </c>
      <c r="K367" s="6">
        <f t="shared" si="16"/>
        <v>8.8500000000000014</v>
      </c>
      <c r="L367" s="6">
        <f t="shared" si="17"/>
        <v>8.8500000000000014</v>
      </c>
    </row>
    <row r="368" spans="1:12" x14ac:dyDescent="0.35">
      <c r="A368" s="3">
        <v>536401</v>
      </c>
      <c r="B368" s="3">
        <v>82483</v>
      </c>
      <c r="C368" s="3" t="s">
        <v>120</v>
      </c>
      <c r="D368" s="9">
        <v>1</v>
      </c>
      <c r="E368" s="4">
        <v>40560</v>
      </c>
      <c r="F368" s="5">
        <v>0.47291666666666665</v>
      </c>
      <c r="G368" s="6">
        <v>5.95</v>
      </c>
      <c r="H368" s="3">
        <v>15862</v>
      </c>
      <c r="I368" s="3" t="s">
        <v>5</v>
      </c>
      <c r="J368" s="3" t="str">
        <f t="shared" si="15"/>
        <v>Sale</v>
      </c>
      <c r="K368" s="6">
        <f t="shared" si="16"/>
        <v>5.95</v>
      </c>
      <c r="L368" s="6">
        <f t="shared" si="17"/>
        <v>5.95</v>
      </c>
    </row>
    <row r="369" spans="1:12" x14ac:dyDescent="0.35">
      <c r="A369" s="3">
        <v>536401</v>
      </c>
      <c r="B369" s="3">
        <v>20749</v>
      </c>
      <c r="C369" s="3" t="s">
        <v>331</v>
      </c>
      <c r="D369" s="9">
        <v>1</v>
      </c>
      <c r="E369" s="4">
        <v>40561</v>
      </c>
      <c r="F369" s="5">
        <v>0.47291666666666665</v>
      </c>
      <c r="G369" s="6">
        <v>7.95</v>
      </c>
      <c r="H369" s="3">
        <v>15862</v>
      </c>
      <c r="I369" s="3" t="s">
        <v>5</v>
      </c>
      <c r="J369" s="3" t="str">
        <f t="shared" si="15"/>
        <v>Sale</v>
      </c>
      <c r="K369" s="6">
        <f t="shared" si="16"/>
        <v>7.95</v>
      </c>
      <c r="L369" s="6">
        <f t="shared" si="17"/>
        <v>7.95</v>
      </c>
    </row>
    <row r="370" spans="1:12" x14ac:dyDescent="0.35">
      <c r="A370" s="3">
        <v>536401</v>
      </c>
      <c r="B370" s="3">
        <v>20725</v>
      </c>
      <c r="C370" s="3" t="s">
        <v>134</v>
      </c>
      <c r="D370" s="9">
        <v>1</v>
      </c>
      <c r="E370" s="4">
        <v>40562</v>
      </c>
      <c r="F370" s="5">
        <v>0.47291666666666665</v>
      </c>
      <c r="G370" s="6">
        <v>1.65</v>
      </c>
      <c r="H370" s="3">
        <v>15862</v>
      </c>
      <c r="I370" s="3" t="s">
        <v>5</v>
      </c>
      <c r="J370" s="3" t="str">
        <f t="shared" si="15"/>
        <v>Sale</v>
      </c>
      <c r="K370" s="6">
        <f t="shared" si="16"/>
        <v>1.65</v>
      </c>
      <c r="L370" s="6">
        <f t="shared" si="17"/>
        <v>1.65</v>
      </c>
    </row>
    <row r="371" spans="1:12" x14ac:dyDescent="0.35">
      <c r="A371" s="3">
        <v>536401</v>
      </c>
      <c r="B371" s="3">
        <v>22382</v>
      </c>
      <c r="C371" s="3" t="s">
        <v>332</v>
      </c>
      <c r="D371" s="9">
        <v>2</v>
      </c>
      <c r="E371" s="4">
        <v>40563</v>
      </c>
      <c r="F371" s="5">
        <v>0.47291666666666665</v>
      </c>
      <c r="G371" s="6">
        <v>1.65</v>
      </c>
      <c r="H371" s="3">
        <v>15862</v>
      </c>
      <c r="I371" s="3" t="s">
        <v>5</v>
      </c>
      <c r="J371" s="3" t="str">
        <f t="shared" si="15"/>
        <v>Sale</v>
      </c>
      <c r="K371" s="6">
        <f t="shared" si="16"/>
        <v>3.3</v>
      </c>
      <c r="L371" s="6">
        <f t="shared" si="17"/>
        <v>3.3</v>
      </c>
    </row>
    <row r="372" spans="1:12" x14ac:dyDescent="0.35">
      <c r="A372" s="3">
        <v>536401</v>
      </c>
      <c r="B372" s="3">
        <v>20726</v>
      </c>
      <c r="C372" s="3" t="s">
        <v>333</v>
      </c>
      <c r="D372" s="9">
        <v>1</v>
      </c>
      <c r="E372" s="4">
        <v>40564</v>
      </c>
      <c r="F372" s="5">
        <v>0.47291666666666665</v>
      </c>
      <c r="G372" s="6">
        <v>1.65</v>
      </c>
      <c r="H372" s="3">
        <v>15862</v>
      </c>
      <c r="I372" s="3" t="s">
        <v>5</v>
      </c>
      <c r="J372" s="3" t="str">
        <f t="shared" si="15"/>
        <v>Sale</v>
      </c>
      <c r="K372" s="6">
        <f t="shared" si="16"/>
        <v>1.65</v>
      </c>
      <c r="L372" s="6">
        <f t="shared" si="17"/>
        <v>1.65</v>
      </c>
    </row>
    <row r="373" spans="1:12" x14ac:dyDescent="0.35">
      <c r="A373" s="3">
        <v>536401</v>
      </c>
      <c r="B373" s="3">
        <v>22384</v>
      </c>
      <c r="C373" s="3" t="s">
        <v>334</v>
      </c>
      <c r="D373" s="9">
        <v>1</v>
      </c>
      <c r="E373" s="4">
        <v>40565</v>
      </c>
      <c r="F373" s="5">
        <v>0.47291666666666665</v>
      </c>
      <c r="G373" s="6">
        <v>1.65</v>
      </c>
      <c r="H373" s="3">
        <v>15862</v>
      </c>
      <c r="I373" s="3" t="s">
        <v>5</v>
      </c>
      <c r="J373" s="3" t="str">
        <f t="shared" si="15"/>
        <v>Sale</v>
      </c>
      <c r="K373" s="6">
        <f t="shared" si="16"/>
        <v>1.65</v>
      </c>
      <c r="L373" s="6">
        <f t="shared" si="17"/>
        <v>1.65</v>
      </c>
    </row>
    <row r="374" spans="1:12" x14ac:dyDescent="0.35">
      <c r="A374" s="3">
        <v>536401</v>
      </c>
      <c r="B374" s="3">
        <v>22467</v>
      </c>
      <c r="C374" s="3" t="s">
        <v>335</v>
      </c>
      <c r="D374" s="9">
        <v>5</v>
      </c>
      <c r="E374" s="4">
        <v>40566</v>
      </c>
      <c r="F374" s="5">
        <v>0.47291666666666665</v>
      </c>
      <c r="G374" s="6">
        <v>2.5499999999999998</v>
      </c>
      <c r="H374" s="3">
        <v>15862</v>
      </c>
      <c r="I374" s="3" t="s">
        <v>5</v>
      </c>
      <c r="J374" s="3" t="str">
        <f t="shared" si="15"/>
        <v>Sale</v>
      </c>
      <c r="K374" s="6">
        <f t="shared" si="16"/>
        <v>12.75</v>
      </c>
      <c r="L374" s="6">
        <f t="shared" si="17"/>
        <v>12.75</v>
      </c>
    </row>
    <row r="375" spans="1:12" x14ac:dyDescent="0.35">
      <c r="A375" s="3">
        <v>536401</v>
      </c>
      <c r="B375" s="3" t="s">
        <v>43</v>
      </c>
      <c r="C375" s="3" t="s">
        <v>336</v>
      </c>
      <c r="D375" s="9">
        <v>3</v>
      </c>
      <c r="E375" s="4">
        <v>40567</v>
      </c>
      <c r="F375" s="5">
        <v>0.47291666666666665</v>
      </c>
      <c r="G375" s="6">
        <v>2.95</v>
      </c>
      <c r="H375" s="3">
        <v>15862</v>
      </c>
      <c r="I375" s="3" t="s">
        <v>5</v>
      </c>
      <c r="J375" s="3" t="str">
        <f t="shared" si="15"/>
        <v>Sale</v>
      </c>
      <c r="K375" s="6">
        <f t="shared" si="16"/>
        <v>8.8500000000000014</v>
      </c>
      <c r="L375" s="6">
        <f t="shared" si="17"/>
        <v>8.8500000000000014</v>
      </c>
    </row>
    <row r="376" spans="1:12" x14ac:dyDescent="0.35">
      <c r="A376" s="3">
        <v>536401</v>
      </c>
      <c r="B376" s="3" t="s">
        <v>44</v>
      </c>
      <c r="C376" s="3" t="s">
        <v>337</v>
      </c>
      <c r="D376" s="9">
        <v>3</v>
      </c>
      <c r="E376" s="4">
        <v>40568</v>
      </c>
      <c r="F376" s="5">
        <v>0.47291666666666665</v>
      </c>
      <c r="G376" s="6">
        <v>2.95</v>
      </c>
      <c r="H376" s="3">
        <v>15862</v>
      </c>
      <c r="I376" s="3" t="s">
        <v>5</v>
      </c>
      <c r="J376" s="3" t="str">
        <f t="shared" si="15"/>
        <v>Sale</v>
      </c>
      <c r="K376" s="6">
        <f t="shared" si="16"/>
        <v>8.8500000000000014</v>
      </c>
      <c r="L376" s="6">
        <f t="shared" si="17"/>
        <v>8.8500000000000014</v>
      </c>
    </row>
    <row r="377" spans="1:12" x14ac:dyDescent="0.35">
      <c r="A377" s="3">
        <v>536401</v>
      </c>
      <c r="B377" s="3">
        <v>21108</v>
      </c>
      <c r="C377" s="3" t="s">
        <v>338</v>
      </c>
      <c r="D377" s="9">
        <v>9</v>
      </c>
      <c r="E377" s="4">
        <v>40569</v>
      </c>
      <c r="F377" s="5">
        <v>0.47291666666666665</v>
      </c>
      <c r="G377" s="6">
        <v>2.5499999999999998</v>
      </c>
      <c r="H377" s="3">
        <v>15862</v>
      </c>
      <c r="I377" s="3" t="s">
        <v>5</v>
      </c>
      <c r="J377" s="3" t="str">
        <f t="shared" si="15"/>
        <v>Sale</v>
      </c>
      <c r="K377" s="6">
        <f t="shared" si="16"/>
        <v>22.95</v>
      </c>
      <c r="L377" s="6">
        <f t="shared" si="17"/>
        <v>22.95</v>
      </c>
    </row>
    <row r="378" spans="1:12" x14ac:dyDescent="0.35">
      <c r="A378" s="3">
        <v>536401</v>
      </c>
      <c r="B378" s="3">
        <v>22848</v>
      </c>
      <c r="C378" s="3" t="s">
        <v>339</v>
      </c>
      <c r="D378" s="9">
        <v>1</v>
      </c>
      <c r="E378" s="4">
        <v>40570</v>
      </c>
      <c r="F378" s="5">
        <v>0.47291666666666665</v>
      </c>
      <c r="G378" s="6">
        <v>16.95</v>
      </c>
      <c r="H378" s="3">
        <v>15862</v>
      </c>
      <c r="I378" s="3" t="s">
        <v>5</v>
      </c>
      <c r="J378" s="3" t="str">
        <f t="shared" si="15"/>
        <v>Sale</v>
      </c>
      <c r="K378" s="6">
        <f t="shared" si="16"/>
        <v>16.95</v>
      </c>
      <c r="L378" s="6">
        <f t="shared" si="17"/>
        <v>16.95</v>
      </c>
    </row>
    <row r="379" spans="1:12" x14ac:dyDescent="0.35">
      <c r="A379" s="3">
        <v>536401</v>
      </c>
      <c r="B379" s="3">
        <v>21033</v>
      </c>
      <c r="C379" s="3" t="s">
        <v>129</v>
      </c>
      <c r="D379" s="9">
        <v>4</v>
      </c>
      <c r="E379" s="4">
        <v>40571</v>
      </c>
      <c r="F379" s="5">
        <v>0.47291666666666665</v>
      </c>
      <c r="G379" s="6">
        <v>2.95</v>
      </c>
      <c r="H379" s="3">
        <v>15862</v>
      </c>
      <c r="I379" s="3" t="s">
        <v>5</v>
      </c>
      <c r="J379" s="3" t="str">
        <f t="shared" si="15"/>
        <v>Sale</v>
      </c>
      <c r="K379" s="6">
        <f t="shared" si="16"/>
        <v>11.8</v>
      </c>
      <c r="L379" s="6">
        <f t="shared" si="17"/>
        <v>11.8</v>
      </c>
    </row>
    <row r="380" spans="1:12" x14ac:dyDescent="0.35">
      <c r="A380" s="3">
        <v>536401</v>
      </c>
      <c r="B380" s="3" t="s">
        <v>45</v>
      </c>
      <c r="C380" s="3" t="s">
        <v>340</v>
      </c>
      <c r="D380" s="9">
        <v>1</v>
      </c>
      <c r="E380" s="4">
        <v>40572</v>
      </c>
      <c r="F380" s="5">
        <v>0.47291666666666665</v>
      </c>
      <c r="G380" s="6">
        <v>10.65</v>
      </c>
      <c r="H380" s="3">
        <v>15862</v>
      </c>
      <c r="I380" s="3" t="s">
        <v>5</v>
      </c>
      <c r="J380" s="3" t="str">
        <f t="shared" si="15"/>
        <v>Sale</v>
      </c>
      <c r="K380" s="6">
        <f t="shared" si="16"/>
        <v>10.65</v>
      </c>
      <c r="L380" s="6">
        <f t="shared" si="17"/>
        <v>10.65</v>
      </c>
    </row>
    <row r="381" spans="1:12" x14ac:dyDescent="0.35">
      <c r="A381" s="3">
        <v>536401</v>
      </c>
      <c r="B381" s="3" t="s">
        <v>35</v>
      </c>
      <c r="C381" s="3" t="s">
        <v>244</v>
      </c>
      <c r="D381" s="9">
        <v>1</v>
      </c>
      <c r="E381" s="4">
        <v>40573</v>
      </c>
      <c r="F381" s="5">
        <v>0.47291666666666665</v>
      </c>
      <c r="G381" s="6">
        <v>4.25</v>
      </c>
      <c r="H381" s="3">
        <v>15862</v>
      </c>
      <c r="I381" s="3" t="s">
        <v>5</v>
      </c>
      <c r="J381" s="3" t="str">
        <f t="shared" si="15"/>
        <v>Sale</v>
      </c>
      <c r="K381" s="6">
        <f t="shared" si="16"/>
        <v>4.25</v>
      </c>
      <c r="L381" s="6">
        <f t="shared" si="17"/>
        <v>4.25</v>
      </c>
    </row>
    <row r="382" spans="1:12" x14ac:dyDescent="0.35">
      <c r="A382" s="3">
        <v>536401</v>
      </c>
      <c r="B382" s="3">
        <v>22428</v>
      </c>
      <c r="C382" s="3" t="s">
        <v>200</v>
      </c>
      <c r="D382" s="9">
        <v>2</v>
      </c>
      <c r="E382" s="4">
        <v>40574</v>
      </c>
      <c r="F382" s="5">
        <v>0.47291666666666665</v>
      </c>
      <c r="G382" s="6">
        <v>6.95</v>
      </c>
      <c r="H382" s="3">
        <v>15862</v>
      </c>
      <c r="I382" s="3" t="s">
        <v>5</v>
      </c>
      <c r="J382" s="3" t="str">
        <f t="shared" si="15"/>
        <v>Sale</v>
      </c>
      <c r="K382" s="6">
        <f t="shared" si="16"/>
        <v>13.9</v>
      </c>
      <c r="L382" s="6">
        <f t="shared" si="17"/>
        <v>13.9</v>
      </c>
    </row>
    <row r="383" spans="1:12" x14ac:dyDescent="0.35">
      <c r="A383" s="3">
        <v>536401</v>
      </c>
      <c r="B383" s="3">
        <v>22502</v>
      </c>
      <c r="C383" s="3" t="s">
        <v>260</v>
      </c>
      <c r="D383" s="9">
        <v>2</v>
      </c>
      <c r="E383" s="4">
        <v>40575</v>
      </c>
      <c r="F383" s="5">
        <v>0.47291666666666665</v>
      </c>
      <c r="G383" s="6">
        <v>5.95</v>
      </c>
      <c r="H383" s="3">
        <v>15862</v>
      </c>
      <c r="I383" s="3" t="s">
        <v>5</v>
      </c>
      <c r="J383" s="3" t="str">
        <f t="shared" si="15"/>
        <v>Sale</v>
      </c>
      <c r="K383" s="6">
        <f t="shared" si="16"/>
        <v>11.9</v>
      </c>
      <c r="L383" s="6">
        <f t="shared" si="17"/>
        <v>11.9</v>
      </c>
    </row>
    <row r="384" spans="1:12" x14ac:dyDescent="0.35">
      <c r="A384" s="3">
        <v>536402</v>
      </c>
      <c r="B384" s="3">
        <v>22086</v>
      </c>
      <c r="C384" s="3" t="s">
        <v>114</v>
      </c>
      <c r="D384" s="9">
        <v>40</v>
      </c>
      <c r="E384" s="4">
        <v>40576</v>
      </c>
      <c r="F384" s="5">
        <v>0.47361111111111109</v>
      </c>
      <c r="G384" s="6">
        <v>2.5499999999999998</v>
      </c>
      <c r="H384" s="3">
        <v>15513</v>
      </c>
      <c r="I384" s="3" t="s">
        <v>5</v>
      </c>
      <c r="J384" s="3" t="str">
        <f t="shared" si="15"/>
        <v>Sale</v>
      </c>
      <c r="K384" s="6">
        <f t="shared" si="16"/>
        <v>102</v>
      </c>
      <c r="L384" s="6">
        <f t="shared" si="17"/>
        <v>102</v>
      </c>
    </row>
    <row r="385" spans="1:12" x14ac:dyDescent="0.35">
      <c r="A385" s="3">
        <v>536402</v>
      </c>
      <c r="B385" s="3">
        <v>22910</v>
      </c>
      <c r="C385" s="3" t="s">
        <v>235</v>
      </c>
      <c r="D385" s="9">
        <v>40</v>
      </c>
      <c r="E385" s="4">
        <v>40577</v>
      </c>
      <c r="F385" s="5">
        <v>0.47361111111111109</v>
      </c>
      <c r="G385" s="6">
        <v>2.5499999999999998</v>
      </c>
      <c r="H385" s="3">
        <v>15513</v>
      </c>
      <c r="I385" s="3" t="s">
        <v>5</v>
      </c>
      <c r="J385" s="3" t="str">
        <f t="shared" si="15"/>
        <v>Sale</v>
      </c>
      <c r="K385" s="6">
        <f t="shared" si="16"/>
        <v>102</v>
      </c>
      <c r="L385" s="6">
        <f t="shared" si="17"/>
        <v>102</v>
      </c>
    </row>
    <row r="386" spans="1:12" x14ac:dyDescent="0.35">
      <c r="A386" s="3">
        <v>536402</v>
      </c>
      <c r="B386" s="3">
        <v>22837</v>
      </c>
      <c r="C386" s="3" t="s">
        <v>341</v>
      </c>
      <c r="D386" s="9">
        <v>36</v>
      </c>
      <c r="E386" s="4">
        <v>40578</v>
      </c>
      <c r="F386" s="5">
        <v>0.47361111111111109</v>
      </c>
      <c r="G386" s="6">
        <v>4.25</v>
      </c>
      <c r="H386" s="3">
        <v>15513</v>
      </c>
      <c r="I386" s="3" t="s">
        <v>5</v>
      </c>
      <c r="J386" s="3" t="str">
        <f t="shared" ref="J386:J449" si="18">IF(D386&lt;1,"Return","Sale")</f>
        <v>Sale</v>
      </c>
      <c r="K386" s="6">
        <f t="shared" ref="K386:K449" si="19">D386*G386</f>
        <v>153</v>
      </c>
      <c r="L386" s="6">
        <f t="shared" si="17"/>
        <v>153</v>
      </c>
    </row>
    <row r="387" spans="1:12" x14ac:dyDescent="0.35">
      <c r="A387" s="3">
        <v>536403</v>
      </c>
      <c r="B387" s="3">
        <v>22867</v>
      </c>
      <c r="C387" s="3" t="s">
        <v>275</v>
      </c>
      <c r="D387" s="9">
        <v>96</v>
      </c>
      <c r="E387" s="4">
        <v>40579</v>
      </c>
      <c r="F387" s="5">
        <v>0.47708333333333336</v>
      </c>
      <c r="G387" s="6">
        <v>1.85</v>
      </c>
      <c r="H387" s="3">
        <v>12791</v>
      </c>
      <c r="I387" s="3" t="s">
        <v>46</v>
      </c>
      <c r="J387" s="3" t="str">
        <f t="shared" si="18"/>
        <v>Sale</v>
      </c>
      <c r="K387" s="6">
        <f t="shared" si="19"/>
        <v>177.60000000000002</v>
      </c>
      <c r="L387" s="6">
        <f t="shared" ref="L387:L450" si="20" xml:space="preserve"> ABS(K387)</f>
        <v>177.60000000000002</v>
      </c>
    </row>
    <row r="388" spans="1:12" x14ac:dyDescent="0.35">
      <c r="A388" s="3">
        <v>536403</v>
      </c>
      <c r="B388" s="3" t="s">
        <v>10</v>
      </c>
      <c r="C388" s="3" t="s">
        <v>113</v>
      </c>
      <c r="D388" s="9">
        <v>1</v>
      </c>
      <c r="E388" s="4">
        <v>40580</v>
      </c>
      <c r="F388" s="5">
        <v>0.47708333333333336</v>
      </c>
      <c r="G388" s="6">
        <v>15</v>
      </c>
      <c r="H388" s="3">
        <v>12791</v>
      </c>
      <c r="I388" s="3" t="s">
        <v>46</v>
      </c>
      <c r="J388" s="3" t="str">
        <f t="shared" si="18"/>
        <v>Sale</v>
      </c>
      <c r="K388" s="6">
        <f t="shared" si="19"/>
        <v>15</v>
      </c>
      <c r="L388" s="6">
        <f t="shared" si="20"/>
        <v>15</v>
      </c>
    </row>
    <row r="389" spans="1:12" x14ac:dyDescent="0.35">
      <c r="A389" s="3">
        <v>536404</v>
      </c>
      <c r="B389" s="3">
        <v>22297</v>
      </c>
      <c r="C389" s="3" t="s">
        <v>342</v>
      </c>
      <c r="D389" s="9">
        <v>24</v>
      </c>
      <c r="E389" s="4">
        <v>40581</v>
      </c>
      <c r="F389" s="5">
        <v>0.47847222222222224</v>
      </c>
      <c r="G389" s="6">
        <v>1.25</v>
      </c>
      <c r="H389" s="3">
        <v>16218</v>
      </c>
      <c r="I389" s="3" t="s">
        <v>5</v>
      </c>
      <c r="J389" s="3" t="str">
        <f t="shared" si="18"/>
        <v>Sale</v>
      </c>
      <c r="K389" s="6">
        <f t="shared" si="19"/>
        <v>30</v>
      </c>
      <c r="L389" s="6">
        <f t="shared" si="20"/>
        <v>30</v>
      </c>
    </row>
    <row r="390" spans="1:12" x14ac:dyDescent="0.35">
      <c r="A390" s="3">
        <v>536404</v>
      </c>
      <c r="B390" s="3">
        <v>22771</v>
      </c>
      <c r="C390" s="3" t="s">
        <v>153</v>
      </c>
      <c r="D390" s="9">
        <v>12</v>
      </c>
      <c r="E390" s="4">
        <v>40582</v>
      </c>
      <c r="F390" s="5">
        <v>0.47847222222222224</v>
      </c>
      <c r="G390" s="6">
        <v>1.25</v>
      </c>
      <c r="H390" s="3">
        <v>16218</v>
      </c>
      <c r="I390" s="3" t="s">
        <v>5</v>
      </c>
      <c r="J390" s="3" t="str">
        <f t="shared" si="18"/>
        <v>Sale</v>
      </c>
      <c r="K390" s="6">
        <f t="shared" si="19"/>
        <v>15</v>
      </c>
      <c r="L390" s="6">
        <f t="shared" si="20"/>
        <v>15</v>
      </c>
    </row>
    <row r="391" spans="1:12" x14ac:dyDescent="0.35">
      <c r="A391" s="3">
        <v>536404</v>
      </c>
      <c r="B391" s="3">
        <v>22772</v>
      </c>
      <c r="C391" s="3" t="s">
        <v>343</v>
      </c>
      <c r="D391" s="9">
        <v>12</v>
      </c>
      <c r="E391" s="4">
        <v>40583</v>
      </c>
      <c r="F391" s="5">
        <v>0.47847222222222224</v>
      </c>
      <c r="G391" s="6">
        <v>1.25</v>
      </c>
      <c r="H391" s="3">
        <v>16218</v>
      </c>
      <c r="I391" s="3" t="s">
        <v>5</v>
      </c>
      <c r="J391" s="3" t="str">
        <f t="shared" si="18"/>
        <v>Sale</v>
      </c>
      <c r="K391" s="6">
        <f t="shared" si="19"/>
        <v>15</v>
      </c>
      <c r="L391" s="6">
        <f t="shared" si="20"/>
        <v>15</v>
      </c>
    </row>
    <row r="392" spans="1:12" x14ac:dyDescent="0.35">
      <c r="A392" s="3">
        <v>536404</v>
      </c>
      <c r="B392" s="3">
        <v>22773</v>
      </c>
      <c r="C392" s="3" t="s">
        <v>344</v>
      </c>
      <c r="D392" s="9">
        <v>12</v>
      </c>
      <c r="E392" s="4">
        <v>40584</v>
      </c>
      <c r="F392" s="5">
        <v>0.47847222222222224</v>
      </c>
      <c r="G392" s="6">
        <v>1.25</v>
      </c>
      <c r="H392" s="3">
        <v>16218</v>
      </c>
      <c r="I392" s="3" t="s">
        <v>5</v>
      </c>
      <c r="J392" s="3" t="str">
        <f t="shared" si="18"/>
        <v>Sale</v>
      </c>
      <c r="K392" s="6">
        <f t="shared" si="19"/>
        <v>15</v>
      </c>
      <c r="L392" s="6">
        <f t="shared" si="20"/>
        <v>15</v>
      </c>
    </row>
    <row r="393" spans="1:12" x14ac:dyDescent="0.35">
      <c r="A393" s="3">
        <v>536404</v>
      </c>
      <c r="B393" s="3">
        <v>22805</v>
      </c>
      <c r="C393" s="3" t="s">
        <v>345</v>
      </c>
      <c r="D393" s="9">
        <v>12</v>
      </c>
      <c r="E393" s="4">
        <v>40585</v>
      </c>
      <c r="F393" s="5">
        <v>0.47847222222222224</v>
      </c>
      <c r="G393" s="6">
        <v>1.25</v>
      </c>
      <c r="H393" s="3">
        <v>16218</v>
      </c>
      <c r="I393" s="3" t="s">
        <v>5</v>
      </c>
      <c r="J393" s="3" t="str">
        <f t="shared" si="18"/>
        <v>Sale</v>
      </c>
      <c r="K393" s="6">
        <f t="shared" si="19"/>
        <v>15</v>
      </c>
      <c r="L393" s="6">
        <f t="shared" si="20"/>
        <v>15</v>
      </c>
    </row>
    <row r="394" spans="1:12" x14ac:dyDescent="0.35">
      <c r="A394" s="3">
        <v>536404</v>
      </c>
      <c r="B394" s="3">
        <v>22469</v>
      </c>
      <c r="C394" s="3" t="s">
        <v>194</v>
      </c>
      <c r="D394" s="9">
        <v>12</v>
      </c>
      <c r="E394" s="4">
        <v>40586</v>
      </c>
      <c r="F394" s="5">
        <v>0.47847222222222224</v>
      </c>
      <c r="G394" s="6">
        <v>1.65</v>
      </c>
      <c r="H394" s="3">
        <v>16218</v>
      </c>
      <c r="I394" s="3" t="s">
        <v>5</v>
      </c>
      <c r="J394" s="3" t="str">
        <f t="shared" si="18"/>
        <v>Sale</v>
      </c>
      <c r="K394" s="6">
        <f t="shared" si="19"/>
        <v>19.799999999999997</v>
      </c>
      <c r="L394" s="6">
        <f t="shared" si="20"/>
        <v>19.799999999999997</v>
      </c>
    </row>
    <row r="395" spans="1:12" x14ac:dyDescent="0.35">
      <c r="A395" s="3">
        <v>536404</v>
      </c>
      <c r="B395" s="3">
        <v>22197</v>
      </c>
      <c r="C395" s="3" t="s">
        <v>237</v>
      </c>
      <c r="D395" s="9">
        <v>36</v>
      </c>
      <c r="E395" s="4">
        <v>40587</v>
      </c>
      <c r="F395" s="5">
        <v>0.47847222222222224</v>
      </c>
      <c r="G395" s="6">
        <v>0.85</v>
      </c>
      <c r="H395" s="3">
        <v>16218</v>
      </c>
      <c r="I395" s="3" t="s">
        <v>5</v>
      </c>
      <c r="J395" s="3" t="str">
        <f t="shared" si="18"/>
        <v>Sale</v>
      </c>
      <c r="K395" s="6">
        <f t="shared" si="19"/>
        <v>30.599999999999998</v>
      </c>
      <c r="L395" s="6">
        <f t="shared" si="20"/>
        <v>30.599999999999998</v>
      </c>
    </row>
    <row r="396" spans="1:12" x14ac:dyDescent="0.35">
      <c r="A396" s="3">
        <v>536404</v>
      </c>
      <c r="B396" s="3">
        <v>21125</v>
      </c>
      <c r="C396" s="3" t="s">
        <v>346</v>
      </c>
      <c r="D396" s="9">
        <v>12</v>
      </c>
      <c r="E396" s="4">
        <v>40588</v>
      </c>
      <c r="F396" s="5">
        <v>0.47847222222222224</v>
      </c>
      <c r="G396" s="6">
        <v>1.25</v>
      </c>
      <c r="H396" s="3">
        <v>16218</v>
      </c>
      <c r="I396" s="3" t="s">
        <v>5</v>
      </c>
      <c r="J396" s="3" t="str">
        <f t="shared" si="18"/>
        <v>Sale</v>
      </c>
      <c r="K396" s="6">
        <f t="shared" si="19"/>
        <v>15</v>
      </c>
      <c r="L396" s="6">
        <f t="shared" si="20"/>
        <v>15</v>
      </c>
    </row>
    <row r="397" spans="1:12" x14ac:dyDescent="0.35">
      <c r="A397" s="3">
        <v>536404</v>
      </c>
      <c r="B397" s="3">
        <v>21126</v>
      </c>
      <c r="C397" s="3" t="s">
        <v>347</v>
      </c>
      <c r="D397" s="9">
        <v>12</v>
      </c>
      <c r="E397" s="4">
        <v>40589</v>
      </c>
      <c r="F397" s="5">
        <v>0.47847222222222224</v>
      </c>
      <c r="G397" s="6">
        <v>1.25</v>
      </c>
      <c r="H397" s="3">
        <v>16218</v>
      </c>
      <c r="I397" s="3" t="s">
        <v>5</v>
      </c>
      <c r="J397" s="3" t="str">
        <f t="shared" si="18"/>
        <v>Sale</v>
      </c>
      <c r="K397" s="6">
        <f t="shared" si="19"/>
        <v>15</v>
      </c>
      <c r="L397" s="6">
        <f t="shared" si="20"/>
        <v>15</v>
      </c>
    </row>
    <row r="398" spans="1:12" x14ac:dyDescent="0.35">
      <c r="A398" s="3">
        <v>536404</v>
      </c>
      <c r="B398" s="3" t="s">
        <v>47</v>
      </c>
      <c r="C398" s="3" t="s">
        <v>348</v>
      </c>
      <c r="D398" s="9">
        <v>12</v>
      </c>
      <c r="E398" s="4">
        <v>40590</v>
      </c>
      <c r="F398" s="5">
        <v>0.47847222222222224</v>
      </c>
      <c r="G398" s="6">
        <v>1.25</v>
      </c>
      <c r="H398" s="3">
        <v>16218</v>
      </c>
      <c r="I398" s="3" t="s">
        <v>5</v>
      </c>
      <c r="J398" s="3" t="str">
        <f t="shared" si="18"/>
        <v>Sale</v>
      </c>
      <c r="K398" s="6">
        <f t="shared" si="19"/>
        <v>15</v>
      </c>
      <c r="L398" s="6">
        <f t="shared" si="20"/>
        <v>15</v>
      </c>
    </row>
    <row r="399" spans="1:12" x14ac:dyDescent="0.35">
      <c r="A399" s="3">
        <v>536404</v>
      </c>
      <c r="B399" s="3" t="s">
        <v>48</v>
      </c>
      <c r="C399" s="3" t="s">
        <v>349</v>
      </c>
      <c r="D399" s="9">
        <v>12</v>
      </c>
      <c r="E399" s="4">
        <v>40591</v>
      </c>
      <c r="F399" s="5">
        <v>0.47847222222222224</v>
      </c>
      <c r="G399" s="6">
        <v>1.25</v>
      </c>
      <c r="H399" s="3">
        <v>16218</v>
      </c>
      <c r="I399" s="3" t="s">
        <v>5</v>
      </c>
      <c r="J399" s="3" t="str">
        <f t="shared" si="18"/>
        <v>Sale</v>
      </c>
      <c r="K399" s="6">
        <f t="shared" si="19"/>
        <v>15</v>
      </c>
      <c r="L399" s="6">
        <f t="shared" si="20"/>
        <v>15</v>
      </c>
    </row>
    <row r="400" spans="1:12" x14ac:dyDescent="0.35">
      <c r="A400" s="3">
        <v>536404</v>
      </c>
      <c r="B400" s="3" t="s">
        <v>38</v>
      </c>
      <c r="C400" s="3" t="s">
        <v>295</v>
      </c>
      <c r="D400" s="9">
        <v>12</v>
      </c>
      <c r="E400" s="4">
        <v>40592</v>
      </c>
      <c r="F400" s="5">
        <v>0.47847222222222224</v>
      </c>
      <c r="G400" s="6">
        <v>1.25</v>
      </c>
      <c r="H400" s="3">
        <v>16218</v>
      </c>
      <c r="I400" s="3" t="s">
        <v>5</v>
      </c>
      <c r="J400" s="3" t="str">
        <f t="shared" si="18"/>
        <v>Sale</v>
      </c>
      <c r="K400" s="6">
        <f t="shared" si="19"/>
        <v>15</v>
      </c>
      <c r="L400" s="6">
        <f t="shared" si="20"/>
        <v>15</v>
      </c>
    </row>
    <row r="401" spans="1:12" x14ac:dyDescent="0.35">
      <c r="A401" s="3">
        <v>536404</v>
      </c>
      <c r="B401" s="3" t="s">
        <v>49</v>
      </c>
      <c r="C401" s="3" t="s">
        <v>350</v>
      </c>
      <c r="D401" s="9">
        <v>12</v>
      </c>
      <c r="E401" s="4">
        <v>40593</v>
      </c>
      <c r="F401" s="5">
        <v>0.47847222222222224</v>
      </c>
      <c r="G401" s="6">
        <v>1.25</v>
      </c>
      <c r="H401" s="3">
        <v>16218</v>
      </c>
      <c r="I401" s="3" t="s">
        <v>5</v>
      </c>
      <c r="J401" s="3" t="str">
        <f t="shared" si="18"/>
        <v>Sale</v>
      </c>
      <c r="K401" s="6">
        <f t="shared" si="19"/>
        <v>15</v>
      </c>
      <c r="L401" s="6">
        <f t="shared" si="20"/>
        <v>15</v>
      </c>
    </row>
    <row r="402" spans="1:12" x14ac:dyDescent="0.35">
      <c r="A402" s="3">
        <v>536404</v>
      </c>
      <c r="B402" s="3">
        <v>21061</v>
      </c>
      <c r="C402" s="3" t="s">
        <v>351</v>
      </c>
      <c r="D402" s="9">
        <v>12</v>
      </c>
      <c r="E402" s="4">
        <v>40594</v>
      </c>
      <c r="F402" s="5">
        <v>0.47847222222222224</v>
      </c>
      <c r="G402" s="6">
        <v>0.85</v>
      </c>
      <c r="H402" s="3">
        <v>16218</v>
      </c>
      <c r="I402" s="3" t="s">
        <v>5</v>
      </c>
      <c r="J402" s="3" t="str">
        <f t="shared" si="18"/>
        <v>Sale</v>
      </c>
      <c r="K402" s="6">
        <f t="shared" si="19"/>
        <v>10.199999999999999</v>
      </c>
      <c r="L402" s="6">
        <f t="shared" si="20"/>
        <v>10.199999999999999</v>
      </c>
    </row>
    <row r="403" spans="1:12" x14ac:dyDescent="0.35">
      <c r="A403" s="3">
        <v>536404</v>
      </c>
      <c r="B403" s="3">
        <v>21063</v>
      </c>
      <c r="C403" s="3" t="s">
        <v>352</v>
      </c>
      <c r="D403" s="9">
        <v>12</v>
      </c>
      <c r="E403" s="4">
        <v>40595</v>
      </c>
      <c r="F403" s="5">
        <v>0.47847222222222224</v>
      </c>
      <c r="G403" s="6">
        <v>0.85</v>
      </c>
      <c r="H403" s="3">
        <v>16218</v>
      </c>
      <c r="I403" s="3" t="s">
        <v>5</v>
      </c>
      <c r="J403" s="3" t="str">
        <f t="shared" si="18"/>
        <v>Sale</v>
      </c>
      <c r="K403" s="6">
        <f t="shared" si="19"/>
        <v>10.199999999999999</v>
      </c>
      <c r="L403" s="6">
        <f t="shared" si="20"/>
        <v>10.199999999999999</v>
      </c>
    </row>
    <row r="404" spans="1:12" x14ac:dyDescent="0.35">
      <c r="A404" s="3">
        <v>536404</v>
      </c>
      <c r="B404" s="3">
        <v>21062</v>
      </c>
      <c r="C404" s="3" t="s">
        <v>353</v>
      </c>
      <c r="D404" s="9">
        <v>12</v>
      </c>
      <c r="E404" s="4">
        <v>40596</v>
      </c>
      <c r="F404" s="5">
        <v>0.47847222222222224</v>
      </c>
      <c r="G404" s="6">
        <v>0.85</v>
      </c>
      <c r="H404" s="3">
        <v>16218</v>
      </c>
      <c r="I404" s="3" t="s">
        <v>5</v>
      </c>
      <c r="J404" s="3" t="str">
        <f t="shared" si="18"/>
        <v>Sale</v>
      </c>
      <c r="K404" s="6">
        <f t="shared" si="19"/>
        <v>10.199999999999999</v>
      </c>
      <c r="L404" s="6">
        <f t="shared" si="20"/>
        <v>10.199999999999999</v>
      </c>
    </row>
    <row r="405" spans="1:12" x14ac:dyDescent="0.35">
      <c r="A405" s="3">
        <v>536404</v>
      </c>
      <c r="B405" s="3">
        <v>84380</v>
      </c>
      <c r="C405" s="3" t="s">
        <v>354</v>
      </c>
      <c r="D405" s="9">
        <v>12</v>
      </c>
      <c r="E405" s="4">
        <v>40597</v>
      </c>
      <c r="F405" s="5">
        <v>0.47847222222222224</v>
      </c>
      <c r="G405" s="6">
        <v>1.25</v>
      </c>
      <c r="H405" s="3">
        <v>16218</v>
      </c>
      <c r="I405" s="3" t="s">
        <v>5</v>
      </c>
      <c r="J405" s="3" t="str">
        <f t="shared" si="18"/>
        <v>Sale</v>
      </c>
      <c r="K405" s="6">
        <f t="shared" si="19"/>
        <v>15</v>
      </c>
      <c r="L405" s="6">
        <f t="shared" si="20"/>
        <v>15</v>
      </c>
    </row>
    <row r="406" spans="1:12" x14ac:dyDescent="0.35">
      <c r="A406" s="3">
        <v>536404</v>
      </c>
      <c r="B406" s="3">
        <v>84378</v>
      </c>
      <c r="C406" s="3" t="s">
        <v>355</v>
      </c>
      <c r="D406" s="9">
        <v>12</v>
      </c>
      <c r="E406" s="4">
        <v>40598</v>
      </c>
      <c r="F406" s="5">
        <v>0.47847222222222224</v>
      </c>
      <c r="G406" s="6">
        <v>1.25</v>
      </c>
      <c r="H406" s="3">
        <v>16218</v>
      </c>
      <c r="I406" s="3" t="s">
        <v>5</v>
      </c>
      <c r="J406" s="3" t="str">
        <f t="shared" si="18"/>
        <v>Sale</v>
      </c>
      <c r="K406" s="6">
        <f t="shared" si="19"/>
        <v>15</v>
      </c>
      <c r="L406" s="6">
        <f t="shared" si="20"/>
        <v>15</v>
      </c>
    </row>
    <row r="407" spans="1:12" x14ac:dyDescent="0.35">
      <c r="A407" s="3">
        <v>536404</v>
      </c>
      <c r="B407" s="3">
        <v>22964</v>
      </c>
      <c r="C407" s="3" t="s">
        <v>356</v>
      </c>
      <c r="D407" s="9">
        <v>12</v>
      </c>
      <c r="E407" s="4">
        <v>40599</v>
      </c>
      <c r="F407" s="5">
        <v>0.47847222222222224</v>
      </c>
      <c r="G407" s="6">
        <v>2.1</v>
      </c>
      <c r="H407" s="3">
        <v>16218</v>
      </c>
      <c r="I407" s="3" t="s">
        <v>5</v>
      </c>
      <c r="J407" s="3" t="str">
        <f t="shared" si="18"/>
        <v>Sale</v>
      </c>
      <c r="K407" s="6">
        <f t="shared" si="19"/>
        <v>25.200000000000003</v>
      </c>
      <c r="L407" s="6">
        <f t="shared" si="20"/>
        <v>25.200000000000003</v>
      </c>
    </row>
    <row r="408" spans="1:12" x14ac:dyDescent="0.35">
      <c r="A408" s="3">
        <v>536404</v>
      </c>
      <c r="B408" s="3">
        <v>21213</v>
      </c>
      <c r="C408" s="3" t="s">
        <v>357</v>
      </c>
      <c r="D408" s="9">
        <v>24</v>
      </c>
      <c r="E408" s="4">
        <v>40600</v>
      </c>
      <c r="F408" s="5">
        <v>0.47847222222222224</v>
      </c>
      <c r="G408" s="6">
        <v>0.55000000000000004</v>
      </c>
      <c r="H408" s="3">
        <v>16218</v>
      </c>
      <c r="I408" s="3" t="s">
        <v>5</v>
      </c>
      <c r="J408" s="3" t="str">
        <f t="shared" si="18"/>
        <v>Sale</v>
      </c>
      <c r="K408" s="6">
        <f t="shared" si="19"/>
        <v>13.200000000000001</v>
      </c>
      <c r="L408" s="6">
        <f t="shared" si="20"/>
        <v>13.200000000000001</v>
      </c>
    </row>
    <row r="409" spans="1:12" x14ac:dyDescent="0.35">
      <c r="A409" s="3">
        <v>536404</v>
      </c>
      <c r="B409" s="3">
        <v>22417</v>
      </c>
      <c r="C409" s="3" t="s">
        <v>358</v>
      </c>
      <c r="D409" s="9">
        <v>24</v>
      </c>
      <c r="E409" s="4">
        <v>40601</v>
      </c>
      <c r="F409" s="5">
        <v>0.47847222222222224</v>
      </c>
      <c r="G409" s="6">
        <v>0.55000000000000004</v>
      </c>
      <c r="H409" s="3">
        <v>16218</v>
      </c>
      <c r="I409" s="3" t="s">
        <v>5</v>
      </c>
      <c r="J409" s="3" t="str">
        <f t="shared" si="18"/>
        <v>Sale</v>
      </c>
      <c r="K409" s="6">
        <f t="shared" si="19"/>
        <v>13.200000000000001</v>
      </c>
      <c r="L409" s="6">
        <f t="shared" si="20"/>
        <v>13.200000000000001</v>
      </c>
    </row>
    <row r="410" spans="1:12" x14ac:dyDescent="0.35">
      <c r="A410" s="3">
        <v>536404</v>
      </c>
      <c r="B410" s="3">
        <v>21212</v>
      </c>
      <c r="C410" s="3" t="s">
        <v>137</v>
      </c>
      <c r="D410" s="9">
        <v>24</v>
      </c>
      <c r="E410" s="4">
        <v>40602</v>
      </c>
      <c r="F410" s="5">
        <v>0.47847222222222224</v>
      </c>
      <c r="G410" s="6">
        <v>0.55000000000000004</v>
      </c>
      <c r="H410" s="3">
        <v>16218</v>
      </c>
      <c r="I410" s="3" t="s">
        <v>5</v>
      </c>
      <c r="J410" s="3" t="str">
        <f t="shared" si="18"/>
        <v>Sale</v>
      </c>
      <c r="K410" s="6">
        <f t="shared" si="19"/>
        <v>13.200000000000001</v>
      </c>
      <c r="L410" s="6">
        <f t="shared" si="20"/>
        <v>13.200000000000001</v>
      </c>
    </row>
    <row r="411" spans="1:12" x14ac:dyDescent="0.35">
      <c r="A411" s="3">
        <v>536404</v>
      </c>
      <c r="B411" s="3">
        <v>84992</v>
      </c>
      <c r="C411" s="3" t="s">
        <v>359</v>
      </c>
      <c r="D411" s="9">
        <v>24</v>
      </c>
      <c r="E411" s="4">
        <v>40603</v>
      </c>
      <c r="F411" s="5">
        <v>0.47847222222222224</v>
      </c>
      <c r="G411" s="6">
        <v>0.55000000000000004</v>
      </c>
      <c r="H411" s="3">
        <v>16218</v>
      </c>
      <c r="I411" s="3" t="s">
        <v>5</v>
      </c>
      <c r="J411" s="3" t="str">
        <f t="shared" si="18"/>
        <v>Sale</v>
      </c>
      <c r="K411" s="6">
        <f t="shared" si="19"/>
        <v>13.200000000000001</v>
      </c>
      <c r="L411" s="6">
        <f t="shared" si="20"/>
        <v>13.200000000000001</v>
      </c>
    </row>
    <row r="412" spans="1:12" x14ac:dyDescent="0.35">
      <c r="A412" s="3">
        <v>536404</v>
      </c>
      <c r="B412" s="3">
        <v>21975</v>
      </c>
      <c r="C412" s="3" t="s">
        <v>138</v>
      </c>
      <c r="D412" s="9">
        <v>24</v>
      </c>
      <c r="E412" s="4">
        <v>40604</v>
      </c>
      <c r="F412" s="5">
        <v>0.47847222222222224</v>
      </c>
      <c r="G412" s="6">
        <v>0.55000000000000004</v>
      </c>
      <c r="H412" s="3">
        <v>16218</v>
      </c>
      <c r="I412" s="3" t="s">
        <v>5</v>
      </c>
      <c r="J412" s="3" t="str">
        <f t="shared" si="18"/>
        <v>Sale</v>
      </c>
      <c r="K412" s="6">
        <f t="shared" si="19"/>
        <v>13.200000000000001</v>
      </c>
      <c r="L412" s="6">
        <f t="shared" si="20"/>
        <v>13.200000000000001</v>
      </c>
    </row>
    <row r="413" spans="1:12" x14ac:dyDescent="0.35">
      <c r="A413" s="3">
        <v>536404</v>
      </c>
      <c r="B413" s="3">
        <v>22383</v>
      </c>
      <c r="C413" s="3" t="s">
        <v>360</v>
      </c>
      <c r="D413" s="9">
        <v>10</v>
      </c>
      <c r="E413" s="4">
        <v>40605</v>
      </c>
      <c r="F413" s="5">
        <v>0.47847222222222224</v>
      </c>
      <c r="G413" s="6">
        <v>1.65</v>
      </c>
      <c r="H413" s="3">
        <v>16218</v>
      </c>
      <c r="I413" s="3" t="s">
        <v>5</v>
      </c>
      <c r="J413" s="3" t="str">
        <f t="shared" si="18"/>
        <v>Sale</v>
      </c>
      <c r="K413" s="6">
        <f t="shared" si="19"/>
        <v>16.5</v>
      </c>
      <c r="L413" s="6">
        <f t="shared" si="20"/>
        <v>16.5</v>
      </c>
    </row>
    <row r="414" spans="1:12" x14ac:dyDescent="0.35">
      <c r="A414" s="3">
        <v>536404</v>
      </c>
      <c r="B414" s="3">
        <v>20728</v>
      </c>
      <c r="C414" s="3" t="s">
        <v>361</v>
      </c>
      <c r="D414" s="9">
        <v>10</v>
      </c>
      <c r="E414" s="4">
        <v>40606</v>
      </c>
      <c r="F414" s="5">
        <v>0.47847222222222224</v>
      </c>
      <c r="G414" s="6">
        <v>1.65</v>
      </c>
      <c r="H414" s="3">
        <v>16218</v>
      </c>
      <c r="I414" s="3" t="s">
        <v>5</v>
      </c>
      <c r="J414" s="3" t="str">
        <f t="shared" si="18"/>
        <v>Sale</v>
      </c>
      <c r="K414" s="6">
        <f t="shared" si="19"/>
        <v>16.5</v>
      </c>
      <c r="L414" s="6">
        <f t="shared" si="20"/>
        <v>16.5</v>
      </c>
    </row>
    <row r="415" spans="1:12" x14ac:dyDescent="0.35">
      <c r="A415" s="3">
        <v>536404</v>
      </c>
      <c r="B415" s="3">
        <v>20727</v>
      </c>
      <c r="C415" s="3" t="s">
        <v>362</v>
      </c>
      <c r="D415" s="9">
        <v>10</v>
      </c>
      <c r="E415" s="4">
        <v>40607</v>
      </c>
      <c r="F415" s="5">
        <v>0.47847222222222224</v>
      </c>
      <c r="G415" s="6">
        <v>1.65</v>
      </c>
      <c r="H415" s="3">
        <v>16218</v>
      </c>
      <c r="I415" s="3" t="s">
        <v>5</v>
      </c>
      <c r="J415" s="3" t="str">
        <f t="shared" si="18"/>
        <v>Sale</v>
      </c>
      <c r="K415" s="6">
        <f t="shared" si="19"/>
        <v>16.5</v>
      </c>
      <c r="L415" s="6">
        <f t="shared" si="20"/>
        <v>16.5</v>
      </c>
    </row>
    <row r="416" spans="1:12" x14ac:dyDescent="0.35">
      <c r="A416" s="3">
        <v>536404</v>
      </c>
      <c r="B416" s="3">
        <v>22296</v>
      </c>
      <c r="C416" s="3" t="s">
        <v>363</v>
      </c>
      <c r="D416" s="9">
        <v>24</v>
      </c>
      <c r="E416" s="4">
        <v>40608</v>
      </c>
      <c r="F416" s="5">
        <v>0.47847222222222224</v>
      </c>
      <c r="G416" s="6">
        <v>1.65</v>
      </c>
      <c r="H416" s="3">
        <v>16218</v>
      </c>
      <c r="I416" s="3" t="s">
        <v>5</v>
      </c>
      <c r="J416" s="3" t="str">
        <f t="shared" si="18"/>
        <v>Sale</v>
      </c>
      <c r="K416" s="6">
        <f t="shared" si="19"/>
        <v>39.599999999999994</v>
      </c>
      <c r="L416" s="6">
        <f t="shared" si="20"/>
        <v>39.599999999999994</v>
      </c>
    </row>
    <row r="417" spans="1:12" x14ac:dyDescent="0.35">
      <c r="A417" s="3">
        <v>536405</v>
      </c>
      <c r="B417" s="3">
        <v>20914</v>
      </c>
      <c r="C417" s="3" t="s">
        <v>364</v>
      </c>
      <c r="D417" s="9">
        <v>128</v>
      </c>
      <c r="E417" s="4">
        <v>40609</v>
      </c>
      <c r="F417" s="5">
        <v>0.48055555555555557</v>
      </c>
      <c r="G417" s="6">
        <v>2.5499999999999998</v>
      </c>
      <c r="H417" s="3">
        <v>14045</v>
      </c>
      <c r="I417" s="3" t="s">
        <v>5</v>
      </c>
      <c r="J417" s="3" t="str">
        <f t="shared" si="18"/>
        <v>Sale</v>
      </c>
      <c r="K417" s="6">
        <f t="shared" si="19"/>
        <v>326.39999999999998</v>
      </c>
      <c r="L417" s="6">
        <f t="shared" si="20"/>
        <v>326.39999999999998</v>
      </c>
    </row>
    <row r="418" spans="1:12" x14ac:dyDescent="0.35">
      <c r="A418" s="3">
        <v>536406</v>
      </c>
      <c r="B418" s="3" t="s">
        <v>4</v>
      </c>
      <c r="C418" s="3" t="s">
        <v>68</v>
      </c>
      <c r="D418" s="9">
        <v>8</v>
      </c>
      <c r="E418" s="4">
        <v>40610</v>
      </c>
      <c r="F418" s="5">
        <v>0.48125000000000001</v>
      </c>
      <c r="G418" s="6">
        <v>2.5499999999999998</v>
      </c>
      <c r="H418" s="3">
        <v>17850</v>
      </c>
      <c r="I418" s="3" t="s">
        <v>5</v>
      </c>
      <c r="J418" s="3" t="str">
        <f t="shared" si="18"/>
        <v>Sale</v>
      </c>
      <c r="K418" s="6">
        <f t="shared" si="19"/>
        <v>20.399999999999999</v>
      </c>
      <c r="L418" s="6">
        <f t="shared" si="20"/>
        <v>20.399999999999999</v>
      </c>
    </row>
    <row r="419" spans="1:12" x14ac:dyDescent="0.35">
      <c r="A419" s="3">
        <v>536406</v>
      </c>
      <c r="B419" s="3">
        <v>71053</v>
      </c>
      <c r="C419" s="3" t="s">
        <v>69</v>
      </c>
      <c r="D419" s="9">
        <v>8</v>
      </c>
      <c r="E419" s="4">
        <v>40611</v>
      </c>
      <c r="F419" s="5">
        <v>0.48125000000000001</v>
      </c>
      <c r="G419" s="6">
        <v>3.39</v>
      </c>
      <c r="H419" s="3">
        <v>17850</v>
      </c>
      <c r="I419" s="3" t="s">
        <v>5</v>
      </c>
      <c r="J419" s="3" t="str">
        <f t="shared" si="18"/>
        <v>Sale</v>
      </c>
      <c r="K419" s="6">
        <f t="shared" si="19"/>
        <v>27.12</v>
      </c>
      <c r="L419" s="6">
        <f t="shared" si="20"/>
        <v>27.12</v>
      </c>
    </row>
    <row r="420" spans="1:12" x14ac:dyDescent="0.35">
      <c r="A420" s="3">
        <v>536406</v>
      </c>
      <c r="B420" s="3" t="s">
        <v>6</v>
      </c>
      <c r="C420" s="3" t="s">
        <v>70</v>
      </c>
      <c r="D420" s="9">
        <v>8</v>
      </c>
      <c r="E420" s="4">
        <v>40612</v>
      </c>
      <c r="F420" s="5">
        <v>0.48125000000000001</v>
      </c>
      <c r="G420" s="6">
        <v>2.75</v>
      </c>
      <c r="H420" s="3">
        <v>17850</v>
      </c>
      <c r="I420" s="3" t="s">
        <v>5</v>
      </c>
      <c r="J420" s="3" t="str">
        <f t="shared" si="18"/>
        <v>Sale</v>
      </c>
      <c r="K420" s="6">
        <f t="shared" si="19"/>
        <v>22</v>
      </c>
      <c r="L420" s="6">
        <f t="shared" si="20"/>
        <v>22</v>
      </c>
    </row>
    <row r="421" spans="1:12" x14ac:dyDescent="0.35">
      <c r="A421" s="3">
        <v>536406</v>
      </c>
      <c r="B421" s="3">
        <v>20679</v>
      </c>
      <c r="C421" s="3" t="s">
        <v>115</v>
      </c>
      <c r="D421" s="9">
        <v>6</v>
      </c>
      <c r="E421" s="4">
        <v>40613</v>
      </c>
      <c r="F421" s="5">
        <v>0.48125000000000001</v>
      </c>
      <c r="G421" s="6">
        <v>4.95</v>
      </c>
      <c r="H421" s="3">
        <v>17850</v>
      </c>
      <c r="I421" s="3" t="s">
        <v>5</v>
      </c>
      <c r="J421" s="3" t="str">
        <f t="shared" si="18"/>
        <v>Sale</v>
      </c>
      <c r="K421" s="6">
        <f t="shared" si="19"/>
        <v>29.700000000000003</v>
      </c>
      <c r="L421" s="6">
        <f t="shared" si="20"/>
        <v>29.700000000000003</v>
      </c>
    </row>
    <row r="422" spans="1:12" x14ac:dyDescent="0.35">
      <c r="A422" s="3">
        <v>536406</v>
      </c>
      <c r="B422" s="3">
        <v>37370</v>
      </c>
      <c r="C422" s="3" t="s">
        <v>116</v>
      </c>
      <c r="D422" s="9">
        <v>6</v>
      </c>
      <c r="E422" s="4">
        <v>40614</v>
      </c>
      <c r="F422" s="5">
        <v>0.48125000000000001</v>
      </c>
      <c r="G422" s="6">
        <v>1.06</v>
      </c>
      <c r="H422" s="3">
        <v>17850</v>
      </c>
      <c r="I422" s="3" t="s">
        <v>5</v>
      </c>
      <c r="J422" s="3" t="str">
        <f t="shared" si="18"/>
        <v>Sale</v>
      </c>
      <c r="K422" s="6">
        <f t="shared" si="19"/>
        <v>6.36</v>
      </c>
      <c r="L422" s="6">
        <f t="shared" si="20"/>
        <v>6.36</v>
      </c>
    </row>
    <row r="423" spans="1:12" x14ac:dyDescent="0.35">
      <c r="A423" s="3">
        <v>536406</v>
      </c>
      <c r="B423" s="3">
        <v>21871</v>
      </c>
      <c r="C423" s="3" t="s">
        <v>117</v>
      </c>
      <c r="D423" s="9">
        <v>6</v>
      </c>
      <c r="E423" s="4">
        <v>40615</v>
      </c>
      <c r="F423" s="5">
        <v>0.48125000000000001</v>
      </c>
      <c r="G423" s="6">
        <v>1.06</v>
      </c>
      <c r="H423" s="3">
        <v>17850</v>
      </c>
      <c r="I423" s="3" t="s">
        <v>5</v>
      </c>
      <c r="J423" s="3" t="str">
        <f t="shared" si="18"/>
        <v>Sale</v>
      </c>
      <c r="K423" s="6">
        <f t="shared" si="19"/>
        <v>6.36</v>
      </c>
      <c r="L423" s="6">
        <f t="shared" si="20"/>
        <v>6.36</v>
      </c>
    </row>
    <row r="424" spans="1:12" x14ac:dyDescent="0.35">
      <c r="A424" s="3">
        <v>536406</v>
      </c>
      <c r="B424" s="3">
        <v>21071</v>
      </c>
      <c r="C424" s="3" t="s">
        <v>118</v>
      </c>
      <c r="D424" s="9">
        <v>6</v>
      </c>
      <c r="E424" s="4">
        <v>40616</v>
      </c>
      <c r="F424" s="5">
        <v>0.48125000000000001</v>
      </c>
      <c r="G424" s="6">
        <v>1.06</v>
      </c>
      <c r="H424" s="3">
        <v>17850</v>
      </c>
      <c r="I424" s="3" t="s">
        <v>5</v>
      </c>
      <c r="J424" s="3" t="str">
        <f t="shared" si="18"/>
        <v>Sale</v>
      </c>
      <c r="K424" s="6">
        <f t="shared" si="19"/>
        <v>6.36</v>
      </c>
      <c r="L424" s="6">
        <f t="shared" si="20"/>
        <v>6.36</v>
      </c>
    </row>
    <row r="425" spans="1:12" x14ac:dyDescent="0.35">
      <c r="A425" s="3">
        <v>536406</v>
      </c>
      <c r="B425" s="3">
        <v>21068</v>
      </c>
      <c r="C425" s="3" t="s">
        <v>119</v>
      </c>
      <c r="D425" s="9">
        <v>6</v>
      </c>
      <c r="E425" s="4">
        <v>40617</v>
      </c>
      <c r="F425" s="5">
        <v>0.48125000000000001</v>
      </c>
      <c r="G425" s="6">
        <v>1.06</v>
      </c>
      <c r="H425" s="3">
        <v>17850</v>
      </c>
      <c r="I425" s="3" t="s">
        <v>5</v>
      </c>
      <c r="J425" s="3" t="str">
        <f t="shared" si="18"/>
        <v>Sale</v>
      </c>
      <c r="K425" s="6">
        <f t="shared" si="19"/>
        <v>6.36</v>
      </c>
      <c r="L425" s="6">
        <f t="shared" si="20"/>
        <v>6.36</v>
      </c>
    </row>
    <row r="426" spans="1:12" x14ac:dyDescent="0.35">
      <c r="A426" s="3">
        <v>536406</v>
      </c>
      <c r="B426" s="3">
        <v>82483</v>
      </c>
      <c r="C426" s="3" t="s">
        <v>120</v>
      </c>
      <c r="D426" s="9">
        <v>4</v>
      </c>
      <c r="E426" s="4">
        <v>40618</v>
      </c>
      <c r="F426" s="5">
        <v>0.48125000000000001</v>
      </c>
      <c r="G426" s="6">
        <v>4.95</v>
      </c>
      <c r="H426" s="3">
        <v>17850</v>
      </c>
      <c r="I426" s="3" t="s">
        <v>5</v>
      </c>
      <c r="J426" s="3" t="str">
        <f t="shared" si="18"/>
        <v>Sale</v>
      </c>
      <c r="K426" s="6">
        <f t="shared" si="19"/>
        <v>19.8</v>
      </c>
      <c r="L426" s="6">
        <f t="shared" si="20"/>
        <v>19.8</v>
      </c>
    </row>
    <row r="427" spans="1:12" x14ac:dyDescent="0.35">
      <c r="A427" s="3">
        <v>536406</v>
      </c>
      <c r="B427" s="3">
        <v>82486</v>
      </c>
      <c r="C427" s="3" t="s">
        <v>121</v>
      </c>
      <c r="D427" s="9">
        <v>4</v>
      </c>
      <c r="E427" s="4">
        <v>40619</v>
      </c>
      <c r="F427" s="5">
        <v>0.48125000000000001</v>
      </c>
      <c r="G427" s="6">
        <v>6.95</v>
      </c>
      <c r="H427" s="3">
        <v>17850</v>
      </c>
      <c r="I427" s="3" t="s">
        <v>5</v>
      </c>
      <c r="J427" s="3" t="str">
        <f t="shared" si="18"/>
        <v>Sale</v>
      </c>
      <c r="K427" s="6">
        <f t="shared" si="19"/>
        <v>27.8</v>
      </c>
      <c r="L427" s="6">
        <f t="shared" si="20"/>
        <v>27.8</v>
      </c>
    </row>
    <row r="428" spans="1:12" x14ac:dyDescent="0.35">
      <c r="A428" s="3">
        <v>536406</v>
      </c>
      <c r="B428" s="3">
        <v>82482</v>
      </c>
      <c r="C428" s="3" t="s">
        <v>122</v>
      </c>
      <c r="D428" s="9">
        <v>6</v>
      </c>
      <c r="E428" s="4">
        <v>40620</v>
      </c>
      <c r="F428" s="5">
        <v>0.48125000000000001</v>
      </c>
      <c r="G428" s="6">
        <v>2.1</v>
      </c>
      <c r="H428" s="3">
        <v>17850</v>
      </c>
      <c r="I428" s="3" t="s">
        <v>5</v>
      </c>
      <c r="J428" s="3" t="str">
        <f t="shared" si="18"/>
        <v>Sale</v>
      </c>
      <c r="K428" s="6">
        <f t="shared" si="19"/>
        <v>12.600000000000001</v>
      </c>
      <c r="L428" s="6">
        <f t="shared" si="20"/>
        <v>12.600000000000001</v>
      </c>
    </row>
    <row r="429" spans="1:12" x14ac:dyDescent="0.35">
      <c r="A429" s="3">
        <v>536406</v>
      </c>
      <c r="B429" s="3" t="s">
        <v>11</v>
      </c>
      <c r="C429" s="3" t="s">
        <v>123</v>
      </c>
      <c r="D429" s="9">
        <v>6</v>
      </c>
      <c r="E429" s="4">
        <v>40621</v>
      </c>
      <c r="F429" s="5">
        <v>0.48125000000000001</v>
      </c>
      <c r="G429" s="6">
        <v>2.5499999999999998</v>
      </c>
      <c r="H429" s="3">
        <v>17850</v>
      </c>
      <c r="I429" s="3" t="s">
        <v>5</v>
      </c>
      <c r="J429" s="3" t="str">
        <f t="shared" si="18"/>
        <v>Sale</v>
      </c>
      <c r="K429" s="6">
        <f t="shared" si="19"/>
        <v>15.299999999999999</v>
      </c>
      <c r="L429" s="6">
        <f t="shared" si="20"/>
        <v>15.299999999999999</v>
      </c>
    </row>
    <row r="430" spans="1:12" x14ac:dyDescent="0.35">
      <c r="A430" s="3">
        <v>536406</v>
      </c>
      <c r="B430" s="3" t="s">
        <v>7</v>
      </c>
      <c r="C430" s="3" t="s">
        <v>71</v>
      </c>
      <c r="D430" s="9">
        <v>6</v>
      </c>
      <c r="E430" s="4">
        <v>40622</v>
      </c>
      <c r="F430" s="5">
        <v>0.48125000000000001</v>
      </c>
      <c r="G430" s="6">
        <v>3.39</v>
      </c>
      <c r="H430" s="3">
        <v>17850</v>
      </c>
      <c r="I430" s="3" t="s">
        <v>5</v>
      </c>
      <c r="J430" s="3" t="str">
        <f t="shared" si="18"/>
        <v>Sale</v>
      </c>
      <c r="K430" s="6">
        <f t="shared" si="19"/>
        <v>20.34</v>
      </c>
      <c r="L430" s="6">
        <f t="shared" si="20"/>
        <v>20.34</v>
      </c>
    </row>
    <row r="431" spans="1:12" x14ac:dyDescent="0.35">
      <c r="A431" s="3">
        <v>536406</v>
      </c>
      <c r="B431" s="3" t="s">
        <v>8</v>
      </c>
      <c r="C431" s="3" t="s">
        <v>72</v>
      </c>
      <c r="D431" s="9">
        <v>6</v>
      </c>
      <c r="E431" s="4">
        <v>40623</v>
      </c>
      <c r="F431" s="5">
        <v>0.48125000000000001</v>
      </c>
      <c r="G431" s="6">
        <v>3.39</v>
      </c>
      <c r="H431" s="3">
        <v>17850</v>
      </c>
      <c r="I431" s="3" t="s">
        <v>5</v>
      </c>
      <c r="J431" s="3" t="str">
        <f t="shared" si="18"/>
        <v>Sale</v>
      </c>
      <c r="K431" s="6">
        <f t="shared" si="19"/>
        <v>20.34</v>
      </c>
      <c r="L431" s="6">
        <f t="shared" si="20"/>
        <v>20.34</v>
      </c>
    </row>
    <row r="432" spans="1:12" x14ac:dyDescent="0.35">
      <c r="A432" s="3">
        <v>536406</v>
      </c>
      <c r="B432" s="3">
        <v>22752</v>
      </c>
      <c r="C432" s="3" t="s">
        <v>73</v>
      </c>
      <c r="D432" s="9">
        <v>2</v>
      </c>
      <c r="E432" s="4">
        <v>40624</v>
      </c>
      <c r="F432" s="5">
        <v>0.48125000000000001</v>
      </c>
      <c r="G432" s="6">
        <v>7.65</v>
      </c>
      <c r="H432" s="3">
        <v>17850</v>
      </c>
      <c r="I432" s="3" t="s">
        <v>5</v>
      </c>
      <c r="J432" s="3" t="str">
        <f t="shared" si="18"/>
        <v>Sale</v>
      </c>
      <c r="K432" s="6">
        <f t="shared" si="19"/>
        <v>15.3</v>
      </c>
      <c r="L432" s="6">
        <f t="shared" si="20"/>
        <v>15.3</v>
      </c>
    </row>
    <row r="433" spans="1:12" x14ac:dyDescent="0.35">
      <c r="A433" s="3">
        <v>536406</v>
      </c>
      <c r="B433" s="3">
        <v>22803</v>
      </c>
      <c r="C433" s="3" t="s">
        <v>276</v>
      </c>
      <c r="D433" s="9">
        <v>2</v>
      </c>
      <c r="E433" s="4">
        <v>40625</v>
      </c>
      <c r="F433" s="5">
        <v>0.48125000000000001</v>
      </c>
      <c r="G433" s="6">
        <v>35.75</v>
      </c>
      <c r="H433" s="3">
        <v>17850</v>
      </c>
      <c r="I433" s="3" t="s">
        <v>5</v>
      </c>
      <c r="J433" s="3" t="str">
        <f t="shared" si="18"/>
        <v>Sale</v>
      </c>
      <c r="K433" s="6">
        <f t="shared" si="19"/>
        <v>71.5</v>
      </c>
      <c r="L433" s="6">
        <f t="shared" si="20"/>
        <v>71.5</v>
      </c>
    </row>
    <row r="434" spans="1:12" x14ac:dyDescent="0.35">
      <c r="A434" s="3">
        <v>536406</v>
      </c>
      <c r="B434" s="3">
        <v>21730</v>
      </c>
      <c r="C434" s="3" t="s">
        <v>74</v>
      </c>
      <c r="D434" s="9">
        <v>6</v>
      </c>
      <c r="E434" s="4">
        <v>40626</v>
      </c>
      <c r="F434" s="5">
        <v>0.48125000000000001</v>
      </c>
      <c r="G434" s="6">
        <v>4.25</v>
      </c>
      <c r="H434" s="3">
        <v>17850</v>
      </c>
      <c r="I434" s="3" t="s">
        <v>5</v>
      </c>
      <c r="J434" s="3" t="str">
        <f t="shared" si="18"/>
        <v>Sale</v>
      </c>
      <c r="K434" s="6">
        <f t="shared" si="19"/>
        <v>25.5</v>
      </c>
      <c r="L434" s="6">
        <f t="shared" si="20"/>
        <v>25.5</v>
      </c>
    </row>
    <row r="435" spans="1:12" x14ac:dyDescent="0.35">
      <c r="A435" s="3">
        <v>536407</v>
      </c>
      <c r="B435" s="3">
        <v>22632</v>
      </c>
      <c r="C435" s="3" t="s">
        <v>76</v>
      </c>
      <c r="D435" s="9">
        <v>6</v>
      </c>
      <c r="E435" s="4">
        <v>40627</v>
      </c>
      <c r="F435" s="5">
        <v>0.48194444444444445</v>
      </c>
      <c r="G435" s="6">
        <v>1.85</v>
      </c>
      <c r="H435" s="3">
        <v>17850</v>
      </c>
      <c r="I435" s="3" t="s">
        <v>5</v>
      </c>
      <c r="J435" s="3" t="str">
        <f t="shared" si="18"/>
        <v>Sale</v>
      </c>
      <c r="K435" s="6">
        <f t="shared" si="19"/>
        <v>11.100000000000001</v>
      </c>
      <c r="L435" s="6">
        <f t="shared" si="20"/>
        <v>11.100000000000001</v>
      </c>
    </row>
    <row r="436" spans="1:12" x14ac:dyDescent="0.35">
      <c r="A436" s="3">
        <v>536407</v>
      </c>
      <c r="B436" s="3">
        <v>22633</v>
      </c>
      <c r="C436" s="3" t="s">
        <v>75</v>
      </c>
      <c r="D436" s="9">
        <v>6</v>
      </c>
      <c r="E436" s="4">
        <v>40628</v>
      </c>
      <c r="F436" s="5">
        <v>0.48194444444444445</v>
      </c>
      <c r="G436" s="6">
        <v>1.85</v>
      </c>
      <c r="H436" s="3">
        <v>17850</v>
      </c>
      <c r="I436" s="3" t="s">
        <v>5</v>
      </c>
      <c r="J436" s="3" t="str">
        <f t="shared" si="18"/>
        <v>Sale</v>
      </c>
      <c r="K436" s="6">
        <f t="shared" si="19"/>
        <v>11.100000000000001</v>
      </c>
      <c r="L436" s="6">
        <f t="shared" si="20"/>
        <v>11.100000000000001</v>
      </c>
    </row>
    <row r="437" spans="1:12" x14ac:dyDescent="0.35">
      <c r="A437" s="3">
        <v>536408</v>
      </c>
      <c r="B437" s="3">
        <v>22537</v>
      </c>
      <c r="C437" s="3" t="s">
        <v>365</v>
      </c>
      <c r="D437" s="9">
        <v>24</v>
      </c>
      <c r="E437" s="4">
        <v>40629</v>
      </c>
      <c r="F437" s="5">
        <v>0.48680555555555555</v>
      </c>
      <c r="G437" s="6">
        <v>0.42</v>
      </c>
      <c r="H437" s="3">
        <v>14307</v>
      </c>
      <c r="I437" s="3" t="s">
        <v>5</v>
      </c>
      <c r="J437" s="3" t="str">
        <f t="shared" si="18"/>
        <v>Sale</v>
      </c>
      <c r="K437" s="6">
        <f t="shared" si="19"/>
        <v>10.08</v>
      </c>
      <c r="L437" s="6">
        <f t="shared" si="20"/>
        <v>10.08</v>
      </c>
    </row>
    <row r="438" spans="1:12" x14ac:dyDescent="0.35">
      <c r="A438" s="3">
        <v>536408</v>
      </c>
      <c r="B438" s="3">
        <v>22533</v>
      </c>
      <c r="C438" s="3" t="s">
        <v>366</v>
      </c>
      <c r="D438" s="9">
        <v>24</v>
      </c>
      <c r="E438" s="4">
        <v>40630</v>
      </c>
      <c r="F438" s="5">
        <v>0.48680555555555555</v>
      </c>
      <c r="G438" s="6">
        <v>0.42</v>
      </c>
      <c r="H438" s="3">
        <v>14307</v>
      </c>
      <c r="I438" s="3" t="s">
        <v>5</v>
      </c>
      <c r="J438" s="3" t="str">
        <f t="shared" si="18"/>
        <v>Sale</v>
      </c>
      <c r="K438" s="6">
        <f t="shared" si="19"/>
        <v>10.08</v>
      </c>
      <c r="L438" s="6">
        <f t="shared" si="20"/>
        <v>10.08</v>
      </c>
    </row>
    <row r="439" spans="1:12" x14ac:dyDescent="0.35">
      <c r="A439" s="3">
        <v>536408</v>
      </c>
      <c r="B439" s="3">
        <v>20982</v>
      </c>
      <c r="C439" s="3" t="s">
        <v>367</v>
      </c>
      <c r="D439" s="9">
        <v>12</v>
      </c>
      <c r="E439" s="4">
        <v>40631</v>
      </c>
      <c r="F439" s="5">
        <v>0.48680555555555555</v>
      </c>
      <c r="G439" s="6">
        <v>0.85</v>
      </c>
      <c r="H439" s="3">
        <v>14307</v>
      </c>
      <c r="I439" s="3" t="s">
        <v>5</v>
      </c>
      <c r="J439" s="3" t="str">
        <f t="shared" si="18"/>
        <v>Sale</v>
      </c>
      <c r="K439" s="6">
        <f t="shared" si="19"/>
        <v>10.199999999999999</v>
      </c>
      <c r="L439" s="6">
        <f t="shared" si="20"/>
        <v>10.199999999999999</v>
      </c>
    </row>
    <row r="440" spans="1:12" x14ac:dyDescent="0.35">
      <c r="A440" s="3">
        <v>536408</v>
      </c>
      <c r="B440" s="3">
        <v>21832</v>
      </c>
      <c r="C440" s="3" t="s">
        <v>180</v>
      </c>
      <c r="D440" s="9">
        <v>12</v>
      </c>
      <c r="E440" s="4">
        <v>40632</v>
      </c>
      <c r="F440" s="5">
        <v>0.48680555555555555</v>
      </c>
      <c r="G440" s="6">
        <v>1.65</v>
      </c>
      <c r="H440" s="3">
        <v>14307</v>
      </c>
      <c r="I440" s="3" t="s">
        <v>5</v>
      </c>
      <c r="J440" s="3" t="str">
        <f t="shared" si="18"/>
        <v>Sale</v>
      </c>
      <c r="K440" s="6">
        <f t="shared" si="19"/>
        <v>19.799999999999997</v>
      </c>
      <c r="L440" s="6">
        <f t="shared" si="20"/>
        <v>19.799999999999997</v>
      </c>
    </row>
    <row r="441" spans="1:12" x14ac:dyDescent="0.35">
      <c r="A441" s="3">
        <v>536408</v>
      </c>
      <c r="B441" s="3">
        <v>21915</v>
      </c>
      <c r="C441" s="3" t="s">
        <v>368</v>
      </c>
      <c r="D441" s="9">
        <v>12</v>
      </c>
      <c r="E441" s="4">
        <v>40633</v>
      </c>
      <c r="F441" s="5">
        <v>0.48680555555555555</v>
      </c>
      <c r="G441" s="6">
        <v>1.25</v>
      </c>
      <c r="H441" s="3">
        <v>14307</v>
      </c>
      <c r="I441" s="3" t="s">
        <v>5</v>
      </c>
      <c r="J441" s="3" t="str">
        <f t="shared" si="18"/>
        <v>Sale</v>
      </c>
      <c r="K441" s="6">
        <f t="shared" si="19"/>
        <v>15</v>
      </c>
      <c r="L441" s="6">
        <f t="shared" si="20"/>
        <v>15</v>
      </c>
    </row>
    <row r="442" spans="1:12" x14ac:dyDescent="0.35">
      <c r="A442" s="3">
        <v>536408</v>
      </c>
      <c r="B442" s="3">
        <v>21914</v>
      </c>
      <c r="C442" s="3" t="s">
        <v>369</v>
      </c>
      <c r="D442" s="9">
        <v>12</v>
      </c>
      <c r="E442" s="4">
        <v>40634</v>
      </c>
      <c r="F442" s="5">
        <v>0.48680555555555555</v>
      </c>
      <c r="G442" s="6">
        <v>1.25</v>
      </c>
      <c r="H442" s="3">
        <v>14307</v>
      </c>
      <c r="I442" s="3" t="s">
        <v>5</v>
      </c>
      <c r="J442" s="3" t="str">
        <f t="shared" si="18"/>
        <v>Sale</v>
      </c>
      <c r="K442" s="6">
        <f t="shared" si="19"/>
        <v>15</v>
      </c>
      <c r="L442" s="6">
        <f t="shared" si="20"/>
        <v>15</v>
      </c>
    </row>
    <row r="443" spans="1:12" x14ac:dyDescent="0.35">
      <c r="A443" s="3">
        <v>536408</v>
      </c>
      <c r="B443" s="3">
        <v>21544</v>
      </c>
      <c r="C443" s="3" t="s">
        <v>370</v>
      </c>
      <c r="D443" s="9">
        <v>12</v>
      </c>
      <c r="E443" s="4">
        <v>40635</v>
      </c>
      <c r="F443" s="5">
        <v>0.48680555555555555</v>
      </c>
      <c r="G443" s="6">
        <v>0.85</v>
      </c>
      <c r="H443" s="3">
        <v>14307</v>
      </c>
      <c r="I443" s="3" t="s">
        <v>5</v>
      </c>
      <c r="J443" s="3" t="str">
        <f t="shared" si="18"/>
        <v>Sale</v>
      </c>
      <c r="K443" s="6">
        <f t="shared" si="19"/>
        <v>10.199999999999999</v>
      </c>
      <c r="L443" s="6">
        <f t="shared" si="20"/>
        <v>10.199999999999999</v>
      </c>
    </row>
    <row r="444" spans="1:12" x14ac:dyDescent="0.35">
      <c r="A444" s="3">
        <v>536408</v>
      </c>
      <c r="B444" s="3">
        <v>22813</v>
      </c>
      <c r="C444" s="3" t="s">
        <v>371</v>
      </c>
      <c r="D444" s="9">
        <v>12</v>
      </c>
      <c r="E444" s="4">
        <v>40636</v>
      </c>
      <c r="F444" s="5">
        <v>0.48680555555555555</v>
      </c>
      <c r="G444" s="6">
        <v>1.95</v>
      </c>
      <c r="H444" s="3">
        <v>14307</v>
      </c>
      <c r="I444" s="3" t="s">
        <v>5</v>
      </c>
      <c r="J444" s="3" t="str">
        <f t="shared" si="18"/>
        <v>Sale</v>
      </c>
      <c r="K444" s="6">
        <f t="shared" si="19"/>
        <v>23.4</v>
      </c>
      <c r="L444" s="6">
        <f t="shared" si="20"/>
        <v>23.4</v>
      </c>
    </row>
    <row r="445" spans="1:12" x14ac:dyDescent="0.35">
      <c r="A445" s="3">
        <v>536408</v>
      </c>
      <c r="B445" s="3">
        <v>22114</v>
      </c>
      <c r="C445" s="3" t="s">
        <v>125</v>
      </c>
      <c r="D445" s="9">
        <v>4</v>
      </c>
      <c r="E445" s="4">
        <v>40637</v>
      </c>
      <c r="F445" s="5">
        <v>0.48680555555555555</v>
      </c>
      <c r="G445" s="6">
        <v>3.95</v>
      </c>
      <c r="H445" s="3">
        <v>14307</v>
      </c>
      <c r="I445" s="3" t="s">
        <v>5</v>
      </c>
      <c r="J445" s="3" t="str">
        <f t="shared" si="18"/>
        <v>Sale</v>
      </c>
      <c r="K445" s="6">
        <f t="shared" si="19"/>
        <v>15.8</v>
      </c>
      <c r="L445" s="6">
        <f t="shared" si="20"/>
        <v>15.8</v>
      </c>
    </row>
    <row r="446" spans="1:12" x14ac:dyDescent="0.35">
      <c r="A446" s="3">
        <v>536408</v>
      </c>
      <c r="B446" s="3" t="s">
        <v>8</v>
      </c>
      <c r="C446" s="3" t="s">
        <v>72</v>
      </c>
      <c r="D446" s="9">
        <v>4</v>
      </c>
      <c r="E446" s="4">
        <v>40638</v>
      </c>
      <c r="F446" s="5">
        <v>0.48680555555555555</v>
      </c>
      <c r="G446" s="6">
        <v>3.75</v>
      </c>
      <c r="H446" s="3">
        <v>14307</v>
      </c>
      <c r="I446" s="3" t="s">
        <v>5</v>
      </c>
      <c r="J446" s="3" t="str">
        <f t="shared" si="18"/>
        <v>Sale</v>
      </c>
      <c r="K446" s="6">
        <f t="shared" si="19"/>
        <v>15</v>
      </c>
      <c r="L446" s="6">
        <f t="shared" si="20"/>
        <v>15</v>
      </c>
    </row>
    <row r="447" spans="1:12" x14ac:dyDescent="0.35">
      <c r="A447" s="3">
        <v>536408</v>
      </c>
      <c r="B447" s="3">
        <v>21479</v>
      </c>
      <c r="C447" s="3" t="s">
        <v>286</v>
      </c>
      <c r="D447" s="9">
        <v>4</v>
      </c>
      <c r="E447" s="4">
        <v>40639</v>
      </c>
      <c r="F447" s="5">
        <v>0.48680555555555555</v>
      </c>
      <c r="G447" s="6">
        <v>3.75</v>
      </c>
      <c r="H447" s="3">
        <v>14307</v>
      </c>
      <c r="I447" s="3" t="s">
        <v>5</v>
      </c>
      <c r="J447" s="3" t="str">
        <f t="shared" si="18"/>
        <v>Sale</v>
      </c>
      <c r="K447" s="6">
        <f t="shared" si="19"/>
        <v>15</v>
      </c>
      <c r="L447" s="6">
        <f t="shared" si="20"/>
        <v>15</v>
      </c>
    </row>
    <row r="448" spans="1:12" x14ac:dyDescent="0.35">
      <c r="A448" s="3">
        <v>536408</v>
      </c>
      <c r="B448" s="3">
        <v>22964</v>
      </c>
      <c r="C448" s="3" t="s">
        <v>356</v>
      </c>
      <c r="D448" s="9">
        <v>6</v>
      </c>
      <c r="E448" s="4">
        <v>40640</v>
      </c>
      <c r="F448" s="5">
        <v>0.48680555555555555</v>
      </c>
      <c r="G448" s="6">
        <v>2.1</v>
      </c>
      <c r="H448" s="3">
        <v>14307</v>
      </c>
      <c r="I448" s="3" t="s">
        <v>5</v>
      </c>
      <c r="J448" s="3" t="str">
        <f t="shared" si="18"/>
        <v>Sale</v>
      </c>
      <c r="K448" s="6">
        <f t="shared" si="19"/>
        <v>12.600000000000001</v>
      </c>
      <c r="L448" s="6">
        <f t="shared" si="20"/>
        <v>12.600000000000001</v>
      </c>
    </row>
    <row r="449" spans="1:12" x14ac:dyDescent="0.35">
      <c r="A449" s="3">
        <v>536408</v>
      </c>
      <c r="B449" s="3">
        <v>84375</v>
      </c>
      <c r="C449" s="3" t="s">
        <v>372</v>
      </c>
      <c r="D449" s="9">
        <v>12</v>
      </c>
      <c r="E449" s="4">
        <v>40641</v>
      </c>
      <c r="F449" s="5">
        <v>0.48680555555555555</v>
      </c>
      <c r="G449" s="6">
        <v>2.1</v>
      </c>
      <c r="H449" s="3">
        <v>14307</v>
      </c>
      <c r="I449" s="3" t="s">
        <v>5</v>
      </c>
      <c r="J449" s="3" t="str">
        <f t="shared" si="18"/>
        <v>Sale</v>
      </c>
      <c r="K449" s="6">
        <f t="shared" si="19"/>
        <v>25.200000000000003</v>
      </c>
      <c r="L449" s="6">
        <f t="shared" si="20"/>
        <v>25.200000000000003</v>
      </c>
    </row>
    <row r="450" spans="1:12" x14ac:dyDescent="0.35">
      <c r="A450" s="3">
        <v>536408</v>
      </c>
      <c r="B450" s="3">
        <v>22418</v>
      </c>
      <c r="C450" s="3" t="s">
        <v>373</v>
      </c>
      <c r="D450" s="9">
        <v>24</v>
      </c>
      <c r="E450" s="4">
        <v>40642</v>
      </c>
      <c r="F450" s="5">
        <v>0.48680555555555555</v>
      </c>
      <c r="G450" s="6">
        <v>0.85</v>
      </c>
      <c r="H450" s="3">
        <v>14307</v>
      </c>
      <c r="I450" s="3" t="s">
        <v>5</v>
      </c>
      <c r="J450" s="3" t="str">
        <f t="shared" ref="J450:J513" si="21">IF(D450&lt;1,"Return","Sale")</f>
        <v>Sale</v>
      </c>
      <c r="K450" s="6">
        <f t="shared" ref="K450:K513" si="22">D450*G450</f>
        <v>20.399999999999999</v>
      </c>
      <c r="L450" s="6">
        <f t="shared" si="20"/>
        <v>20.399999999999999</v>
      </c>
    </row>
    <row r="451" spans="1:12" x14ac:dyDescent="0.35">
      <c r="A451" s="3">
        <v>536408</v>
      </c>
      <c r="B451" s="3">
        <v>22178</v>
      </c>
      <c r="C451" s="3" t="s">
        <v>374</v>
      </c>
      <c r="D451" s="9">
        <v>12</v>
      </c>
      <c r="E451" s="4">
        <v>40643</v>
      </c>
      <c r="F451" s="5">
        <v>0.48680555555555555</v>
      </c>
      <c r="G451" s="6">
        <v>1.25</v>
      </c>
      <c r="H451" s="3">
        <v>14307</v>
      </c>
      <c r="I451" s="3" t="s">
        <v>5</v>
      </c>
      <c r="J451" s="3" t="str">
        <f t="shared" si="21"/>
        <v>Sale</v>
      </c>
      <c r="K451" s="6">
        <f t="shared" si="22"/>
        <v>15</v>
      </c>
      <c r="L451" s="6">
        <f t="shared" ref="L451:L514" si="23" xml:space="preserve"> ABS(K451)</f>
        <v>15</v>
      </c>
    </row>
    <row r="452" spans="1:12" x14ac:dyDescent="0.35">
      <c r="A452" s="3">
        <v>536408</v>
      </c>
      <c r="B452" s="3" t="s">
        <v>50</v>
      </c>
      <c r="C452" s="3" t="s">
        <v>375</v>
      </c>
      <c r="D452" s="9">
        <v>12</v>
      </c>
      <c r="E452" s="4">
        <v>40644</v>
      </c>
      <c r="F452" s="5">
        <v>0.48680555555555555</v>
      </c>
      <c r="G452" s="6">
        <v>0.95</v>
      </c>
      <c r="H452" s="3">
        <v>14307</v>
      </c>
      <c r="I452" s="3" t="s">
        <v>5</v>
      </c>
      <c r="J452" s="3" t="str">
        <f t="shared" si="21"/>
        <v>Sale</v>
      </c>
      <c r="K452" s="6">
        <f t="shared" si="22"/>
        <v>11.399999999999999</v>
      </c>
      <c r="L452" s="6">
        <f t="shared" si="23"/>
        <v>11.399999999999999</v>
      </c>
    </row>
    <row r="453" spans="1:12" x14ac:dyDescent="0.35">
      <c r="A453" s="3">
        <v>536408</v>
      </c>
      <c r="B453" s="3">
        <v>21733</v>
      </c>
      <c r="C453" s="3" t="s">
        <v>126</v>
      </c>
      <c r="D453" s="9">
        <v>6</v>
      </c>
      <c r="E453" s="4">
        <v>40645</v>
      </c>
      <c r="F453" s="5">
        <v>0.48680555555555555</v>
      </c>
      <c r="G453" s="6">
        <v>2.95</v>
      </c>
      <c r="H453" s="3">
        <v>14307</v>
      </c>
      <c r="I453" s="3" t="s">
        <v>5</v>
      </c>
      <c r="J453" s="3" t="str">
        <f t="shared" si="21"/>
        <v>Sale</v>
      </c>
      <c r="K453" s="6">
        <f t="shared" si="22"/>
        <v>17.700000000000003</v>
      </c>
      <c r="L453" s="6">
        <f t="shared" si="23"/>
        <v>17.700000000000003</v>
      </c>
    </row>
    <row r="454" spans="1:12" x14ac:dyDescent="0.35">
      <c r="A454" s="3">
        <v>536408</v>
      </c>
      <c r="B454" s="3">
        <v>22465</v>
      </c>
      <c r="C454" s="3" t="s">
        <v>376</v>
      </c>
      <c r="D454" s="9">
        <v>12</v>
      </c>
      <c r="E454" s="4">
        <v>40646</v>
      </c>
      <c r="F454" s="5">
        <v>0.48680555555555555</v>
      </c>
      <c r="G454" s="6">
        <v>1.65</v>
      </c>
      <c r="H454" s="3">
        <v>14307</v>
      </c>
      <c r="I454" s="3" t="s">
        <v>5</v>
      </c>
      <c r="J454" s="3" t="str">
        <f t="shared" si="21"/>
        <v>Sale</v>
      </c>
      <c r="K454" s="6">
        <f t="shared" si="22"/>
        <v>19.799999999999997</v>
      </c>
      <c r="L454" s="6">
        <f t="shared" si="23"/>
        <v>19.799999999999997</v>
      </c>
    </row>
    <row r="455" spans="1:12" x14ac:dyDescent="0.35">
      <c r="A455" s="3">
        <v>536408</v>
      </c>
      <c r="B455" s="3">
        <v>84949</v>
      </c>
      <c r="C455" s="3" t="s">
        <v>377</v>
      </c>
      <c r="D455" s="9">
        <v>6</v>
      </c>
      <c r="E455" s="4">
        <v>40647</v>
      </c>
      <c r="F455" s="5">
        <v>0.48680555555555555</v>
      </c>
      <c r="G455" s="6">
        <v>1.65</v>
      </c>
      <c r="H455" s="3">
        <v>14307</v>
      </c>
      <c r="I455" s="3" t="s">
        <v>5</v>
      </c>
      <c r="J455" s="3" t="str">
        <f t="shared" si="21"/>
        <v>Sale</v>
      </c>
      <c r="K455" s="6">
        <f t="shared" si="22"/>
        <v>9.8999999999999986</v>
      </c>
      <c r="L455" s="6">
        <f t="shared" si="23"/>
        <v>9.8999999999999986</v>
      </c>
    </row>
    <row r="456" spans="1:12" x14ac:dyDescent="0.35">
      <c r="A456" s="3">
        <v>536408</v>
      </c>
      <c r="B456" s="3">
        <v>20685</v>
      </c>
      <c r="C456" s="3" t="s">
        <v>378</v>
      </c>
      <c r="D456" s="9">
        <v>2</v>
      </c>
      <c r="E456" s="4">
        <v>40648</v>
      </c>
      <c r="F456" s="5">
        <v>0.48680555555555555</v>
      </c>
      <c r="G456" s="6">
        <v>7.95</v>
      </c>
      <c r="H456" s="3">
        <v>14307</v>
      </c>
      <c r="I456" s="3" t="s">
        <v>5</v>
      </c>
      <c r="J456" s="3" t="str">
        <f t="shared" si="21"/>
        <v>Sale</v>
      </c>
      <c r="K456" s="6">
        <f t="shared" si="22"/>
        <v>15.9</v>
      </c>
      <c r="L456" s="6">
        <f t="shared" si="23"/>
        <v>15.9</v>
      </c>
    </row>
    <row r="457" spans="1:12" x14ac:dyDescent="0.35">
      <c r="A457" s="3">
        <v>536408</v>
      </c>
      <c r="B457" s="3">
        <v>48194</v>
      </c>
      <c r="C457" s="3" t="s">
        <v>379</v>
      </c>
      <c r="D457" s="9">
        <v>2</v>
      </c>
      <c r="E457" s="4">
        <v>40649</v>
      </c>
      <c r="F457" s="5">
        <v>0.48680555555555555</v>
      </c>
      <c r="G457" s="6">
        <v>7.95</v>
      </c>
      <c r="H457" s="3">
        <v>14307</v>
      </c>
      <c r="I457" s="3" t="s">
        <v>5</v>
      </c>
      <c r="J457" s="3" t="str">
        <f t="shared" si="21"/>
        <v>Sale</v>
      </c>
      <c r="K457" s="6">
        <f t="shared" si="22"/>
        <v>15.9</v>
      </c>
      <c r="L457" s="6">
        <f t="shared" si="23"/>
        <v>15.9</v>
      </c>
    </row>
    <row r="458" spans="1:12" x14ac:dyDescent="0.35">
      <c r="A458" s="3">
        <v>536408</v>
      </c>
      <c r="B458" s="3">
        <v>22488</v>
      </c>
      <c r="C458" s="3" t="s">
        <v>380</v>
      </c>
      <c r="D458" s="9">
        <v>12</v>
      </c>
      <c r="E458" s="4">
        <v>40650</v>
      </c>
      <c r="F458" s="5">
        <v>0.48680555555555555</v>
      </c>
      <c r="G458" s="6">
        <v>1.65</v>
      </c>
      <c r="H458" s="3">
        <v>14307</v>
      </c>
      <c r="I458" s="3" t="s">
        <v>5</v>
      </c>
      <c r="J458" s="3" t="str">
        <f t="shared" si="21"/>
        <v>Sale</v>
      </c>
      <c r="K458" s="6">
        <f t="shared" si="22"/>
        <v>19.799999999999997</v>
      </c>
      <c r="L458" s="6">
        <f t="shared" si="23"/>
        <v>19.799999999999997</v>
      </c>
    </row>
    <row r="459" spans="1:12" x14ac:dyDescent="0.35">
      <c r="A459" s="3">
        <v>536408</v>
      </c>
      <c r="B459" s="3">
        <v>22219</v>
      </c>
      <c r="C459" s="3" t="s">
        <v>381</v>
      </c>
      <c r="D459" s="9">
        <v>12</v>
      </c>
      <c r="E459" s="4">
        <v>40651</v>
      </c>
      <c r="F459" s="5">
        <v>0.48680555555555555</v>
      </c>
      <c r="G459" s="6">
        <v>0.85</v>
      </c>
      <c r="H459" s="3">
        <v>14307</v>
      </c>
      <c r="I459" s="3" t="s">
        <v>5</v>
      </c>
      <c r="J459" s="3" t="str">
        <f t="shared" si="21"/>
        <v>Sale</v>
      </c>
      <c r="K459" s="6">
        <f t="shared" si="22"/>
        <v>10.199999999999999</v>
      </c>
      <c r="L459" s="6">
        <f t="shared" si="23"/>
        <v>10.199999999999999</v>
      </c>
    </row>
    <row r="460" spans="1:12" x14ac:dyDescent="0.35">
      <c r="A460" s="3">
        <v>536408</v>
      </c>
      <c r="B460" s="3">
        <v>84879</v>
      </c>
      <c r="C460" s="3" t="s">
        <v>77</v>
      </c>
      <c r="D460" s="9">
        <v>8</v>
      </c>
      <c r="E460" s="4">
        <v>40652</v>
      </c>
      <c r="F460" s="5">
        <v>0.48680555555555555</v>
      </c>
      <c r="G460" s="6">
        <v>1.69</v>
      </c>
      <c r="H460" s="3">
        <v>14307</v>
      </c>
      <c r="I460" s="3" t="s">
        <v>5</v>
      </c>
      <c r="J460" s="3" t="str">
        <f t="shared" si="21"/>
        <v>Sale</v>
      </c>
      <c r="K460" s="6">
        <f t="shared" si="22"/>
        <v>13.52</v>
      </c>
      <c r="L460" s="6">
        <f t="shared" si="23"/>
        <v>13.52</v>
      </c>
    </row>
    <row r="461" spans="1:12" x14ac:dyDescent="0.35">
      <c r="A461" s="3">
        <v>536408</v>
      </c>
      <c r="B461" s="3">
        <v>21754</v>
      </c>
      <c r="C461" s="3" t="s">
        <v>85</v>
      </c>
      <c r="D461" s="9">
        <v>3</v>
      </c>
      <c r="E461" s="4">
        <v>40653</v>
      </c>
      <c r="F461" s="5">
        <v>0.48680555555555555</v>
      </c>
      <c r="G461" s="6">
        <v>5.95</v>
      </c>
      <c r="H461" s="3">
        <v>14307</v>
      </c>
      <c r="I461" s="3" t="s">
        <v>5</v>
      </c>
      <c r="J461" s="3" t="str">
        <f t="shared" si="21"/>
        <v>Sale</v>
      </c>
      <c r="K461" s="6">
        <f t="shared" si="22"/>
        <v>17.850000000000001</v>
      </c>
      <c r="L461" s="6">
        <f t="shared" si="23"/>
        <v>17.850000000000001</v>
      </c>
    </row>
    <row r="462" spans="1:12" x14ac:dyDescent="0.35">
      <c r="A462" s="3">
        <v>536408</v>
      </c>
      <c r="B462" s="3">
        <v>21755</v>
      </c>
      <c r="C462" s="3" t="s">
        <v>86</v>
      </c>
      <c r="D462" s="9">
        <v>3</v>
      </c>
      <c r="E462" s="4">
        <v>40654</v>
      </c>
      <c r="F462" s="5">
        <v>0.48680555555555555</v>
      </c>
      <c r="G462" s="6">
        <v>5.95</v>
      </c>
      <c r="H462" s="3">
        <v>14307</v>
      </c>
      <c r="I462" s="3" t="s">
        <v>5</v>
      </c>
      <c r="J462" s="3" t="str">
        <f t="shared" si="21"/>
        <v>Sale</v>
      </c>
      <c r="K462" s="6">
        <f t="shared" si="22"/>
        <v>17.850000000000001</v>
      </c>
      <c r="L462" s="6">
        <f t="shared" si="23"/>
        <v>17.850000000000001</v>
      </c>
    </row>
    <row r="463" spans="1:12" x14ac:dyDescent="0.35">
      <c r="A463" s="3">
        <v>536408</v>
      </c>
      <c r="B463" s="3">
        <v>22766</v>
      </c>
      <c r="C463" s="3" t="s">
        <v>291</v>
      </c>
      <c r="D463" s="9">
        <v>8</v>
      </c>
      <c r="E463" s="4">
        <v>40655</v>
      </c>
      <c r="F463" s="5">
        <v>0.48680555555555555</v>
      </c>
      <c r="G463" s="6">
        <v>2.95</v>
      </c>
      <c r="H463" s="3">
        <v>14307</v>
      </c>
      <c r="I463" s="3" t="s">
        <v>5</v>
      </c>
      <c r="J463" s="3" t="str">
        <f t="shared" si="21"/>
        <v>Sale</v>
      </c>
      <c r="K463" s="6">
        <f t="shared" si="22"/>
        <v>23.6</v>
      </c>
      <c r="L463" s="6">
        <f t="shared" si="23"/>
        <v>23.6</v>
      </c>
    </row>
    <row r="464" spans="1:12" x14ac:dyDescent="0.35">
      <c r="A464" s="3">
        <v>536408</v>
      </c>
      <c r="B464" s="3">
        <v>22610</v>
      </c>
      <c r="C464" s="3" t="s">
        <v>382</v>
      </c>
      <c r="D464" s="9">
        <v>36</v>
      </c>
      <c r="E464" s="4">
        <v>40656</v>
      </c>
      <c r="F464" s="5">
        <v>0.48680555555555555</v>
      </c>
      <c r="G464" s="6">
        <v>0.85</v>
      </c>
      <c r="H464" s="3">
        <v>14307</v>
      </c>
      <c r="I464" s="3" t="s">
        <v>5</v>
      </c>
      <c r="J464" s="3" t="str">
        <f t="shared" si="21"/>
        <v>Sale</v>
      </c>
      <c r="K464" s="6">
        <f t="shared" si="22"/>
        <v>30.599999999999998</v>
      </c>
      <c r="L464" s="6">
        <f t="shared" si="23"/>
        <v>30.599999999999998</v>
      </c>
    </row>
    <row r="465" spans="1:12" x14ac:dyDescent="0.35">
      <c r="A465" s="3">
        <v>536408</v>
      </c>
      <c r="B465" s="3">
        <v>22716</v>
      </c>
      <c r="C465" s="3" t="s">
        <v>383</v>
      </c>
      <c r="D465" s="9">
        <v>12</v>
      </c>
      <c r="E465" s="4">
        <v>40657</v>
      </c>
      <c r="F465" s="5">
        <v>0.48680555555555555</v>
      </c>
      <c r="G465" s="6">
        <v>0.42</v>
      </c>
      <c r="H465" s="3">
        <v>14307</v>
      </c>
      <c r="I465" s="3" t="s">
        <v>5</v>
      </c>
      <c r="J465" s="3" t="str">
        <f t="shared" si="21"/>
        <v>Sale</v>
      </c>
      <c r="K465" s="6">
        <f t="shared" si="22"/>
        <v>5.04</v>
      </c>
      <c r="L465" s="6">
        <f t="shared" si="23"/>
        <v>5.04</v>
      </c>
    </row>
    <row r="466" spans="1:12" x14ac:dyDescent="0.35">
      <c r="A466" s="3">
        <v>536408</v>
      </c>
      <c r="B466" s="3">
        <v>22706</v>
      </c>
      <c r="C466" s="3" t="s">
        <v>384</v>
      </c>
      <c r="D466" s="9">
        <v>25</v>
      </c>
      <c r="E466" s="4">
        <v>40658</v>
      </c>
      <c r="F466" s="5">
        <v>0.48680555555555555</v>
      </c>
      <c r="G466" s="6">
        <v>0.42</v>
      </c>
      <c r="H466" s="3">
        <v>14307</v>
      </c>
      <c r="I466" s="3" t="s">
        <v>5</v>
      </c>
      <c r="J466" s="3" t="str">
        <f t="shared" si="21"/>
        <v>Sale</v>
      </c>
      <c r="K466" s="6">
        <f t="shared" si="22"/>
        <v>10.5</v>
      </c>
      <c r="L466" s="6">
        <f t="shared" si="23"/>
        <v>10.5</v>
      </c>
    </row>
    <row r="467" spans="1:12" x14ac:dyDescent="0.35">
      <c r="A467" s="3">
        <v>536408</v>
      </c>
      <c r="B467" s="3">
        <v>22371</v>
      </c>
      <c r="C467" s="3" t="s">
        <v>385</v>
      </c>
      <c r="D467" s="9">
        <v>4</v>
      </c>
      <c r="E467" s="4">
        <v>40659</v>
      </c>
      <c r="F467" s="5">
        <v>0.48680555555555555</v>
      </c>
      <c r="G467" s="6">
        <v>4.25</v>
      </c>
      <c r="H467" s="3">
        <v>14307</v>
      </c>
      <c r="I467" s="3" t="s">
        <v>5</v>
      </c>
      <c r="J467" s="3" t="str">
        <f t="shared" si="21"/>
        <v>Sale</v>
      </c>
      <c r="K467" s="6">
        <f t="shared" si="22"/>
        <v>17</v>
      </c>
      <c r="L467" s="6">
        <f t="shared" si="23"/>
        <v>17</v>
      </c>
    </row>
    <row r="468" spans="1:12" x14ac:dyDescent="0.35">
      <c r="A468" s="3">
        <v>536408</v>
      </c>
      <c r="B468" s="3" t="s">
        <v>32</v>
      </c>
      <c r="C468" s="3" t="s">
        <v>224</v>
      </c>
      <c r="D468" s="9">
        <v>3</v>
      </c>
      <c r="E468" s="4">
        <v>40660</v>
      </c>
      <c r="F468" s="5">
        <v>0.48680555555555555</v>
      </c>
      <c r="G468" s="6">
        <v>5.95</v>
      </c>
      <c r="H468" s="3">
        <v>14307</v>
      </c>
      <c r="I468" s="3" t="s">
        <v>5</v>
      </c>
      <c r="J468" s="3" t="str">
        <f t="shared" si="21"/>
        <v>Sale</v>
      </c>
      <c r="K468" s="6">
        <f t="shared" si="22"/>
        <v>17.850000000000001</v>
      </c>
      <c r="L468" s="6">
        <f t="shared" si="23"/>
        <v>17.850000000000001</v>
      </c>
    </row>
    <row r="469" spans="1:12" x14ac:dyDescent="0.35">
      <c r="A469" s="3">
        <v>536408</v>
      </c>
      <c r="B469" s="3" t="s">
        <v>33</v>
      </c>
      <c r="C469" s="3" t="s">
        <v>225</v>
      </c>
      <c r="D469" s="9">
        <v>3</v>
      </c>
      <c r="E469" s="4">
        <v>40661</v>
      </c>
      <c r="F469" s="5">
        <v>0.48680555555555555</v>
      </c>
      <c r="G469" s="6">
        <v>5.95</v>
      </c>
      <c r="H469" s="3">
        <v>14307</v>
      </c>
      <c r="I469" s="3" t="s">
        <v>5</v>
      </c>
      <c r="J469" s="3" t="str">
        <f t="shared" si="21"/>
        <v>Sale</v>
      </c>
      <c r="K469" s="6">
        <f t="shared" si="22"/>
        <v>17.850000000000001</v>
      </c>
      <c r="L469" s="6">
        <f t="shared" si="23"/>
        <v>17.850000000000001</v>
      </c>
    </row>
    <row r="470" spans="1:12" x14ac:dyDescent="0.35">
      <c r="A470" s="3">
        <v>536408</v>
      </c>
      <c r="B470" s="3" t="s">
        <v>13</v>
      </c>
      <c r="C470" s="3" t="s">
        <v>131</v>
      </c>
      <c r="D470" s="9">
        <v>6</v>
      </c>
      <c r="E470" s="4">
        <v>40662</v>
      </c>
      <c r="F470" s="5">
        <v>0.48680555555555555</v>
      </c>
      <c r="G470" s="6">
        <v>3.75</v>
      </c>
      <c r="H470" s="3">
        <v>14307</v>
      </c>
      <c r="I470" s="3" t="s">
        <v>5</v>
      </c>
      <c r="J470" s="3" t="str">
        <f t="shared" si="21"/>
        <v>Sale</v>
      </c>
      <c r="K470" s="6">
        <f t="shared" si="22"/>
        <v>22.5</v>
      </c>
      <c r="L470" s="6">
        <f t="shared" si="23"/>
        <v>22.5</v>
      </c>
    </row>
    <row r="471" spans="1:12" x14ac:dyDescent="0.35">
      <c r="A471" s="3">
        <v>536408</v>
      </c>
      <c r="B471" s="3">
        <v>21212</v>
      </c>
      <c r="C471" s="3" t="s">
        <v>137</v>
      </c>
      <c r="D471" s="9">
        <v>24</v>
      </c>
      <c r="E471" s="4">
        <v>40663</v>
      </c>
      <c r="F471" s="5">
        <v>0.48680555555555555</v>
      </c>
      <c r="G471" s="6">
        <v>0.55000000000000004</v>
      </c>
      <c r="H471" s="3">
        <v>14307</v>
      </c>
      <c r="I471" s="3" t="s">
        <v>5</v>
      </c>
      <c r="J471" s="3" t="str">
        <f t="shared" si="21"/>
        <v>Sale</v>
      </c>
      <c r="K471" s="6">
        <f t="shared" si="22"/>
        <v>13.200000000000001</v>
      </c>
      <c r="L471" s="6">
        <f t="shared" si="23"/>
        <v>13.200000000000001</v>
      </c>
    </row>
    <row r="472" spans="1:12" x14ac:dyDescent="0.35">
      <c r="A472" s="3">
        <v>536408</v>
      </c>
      <c r="B472" s="3">
        <v>21210</v>
      </c>
      <c r="C472" s="3" t="s">
        <v>386</v>
      </c>
      <c r="D472" s="9">
        <v>12</v>
      </c>
      <c r="E472" s="4">
        <v>40664</v>
      </c>
      <c r="F472" s="5">
        <v>0.48680555555555555</v>
      </c>
      <c r="G472" s="6">
        <v>1.45</v>
      </c>
      <c r="H472" s="3">
        <v>14307</v>
      </c>
      <c r="I472" s="3" t="s">
        <v>5</v>
      </c>
      <c r="J472" s="3" t="str">
        <f t="shared" si="21"/>
        <v>Sale</v>
      </c>
      <c r="K472" s="6">
        <f t="shared" si="22"/>
        <v>17.399999999999999</v>
      </c>
      <c r="L472" s="6">
        <f t="shared" si="23"/>
        <v>17.399999999999999</v>
      </c>
    </row>
    <row r="473" spans="1:12" x14ac:dyDescent="0.35">
      <c r="A473" s="3">
        <v>536408</v>
      </c>
      <c r="B473" s="3">
        <v>22914</v>
      </c>
      <c r="C473" s="3" t="s">
        <v>92</v>
      </c>
      <c r="D473" s="9">
        <v>3</v>
      </c>
      <c r="E473" s="4">
        <v>40665</v>
      </c>
      <c r="F473" s="5">
        <v>0.48680555555555555</v>
      </c>
      <c r="G473" s="6">
        <v>4.95</v>
      </c>
      <c r="H473" s="3">
        <v>14307</v>
      </c>
      <c r="I473" s="3" t="s">
        <v>5</v>
      </c>
      <c r="J473" s="3" t="str">
        <f t="shared" si="21"/>
        <v>Sale</v>
      </c>
      <c r="K473" s="6">
        <f t="shared" si="22"/>
        <v>14.850000000000001</v>
      </c>
      <c r="L473" s="6">
        <f t="shared" si="23"/>
        <v>14.850000000000001</v>
      </c>
    </row>
    <row r="474" spans="1:12" x14ac:dyDescent="0.35">
      <c r="A474" s="3">
        <v>536408</v>
      </c>
      <c r="B474" s="3">
        <v>22553</v>
      </c>
      <c r="C474" s="3" t="s">
        <v>252</v>
      </c>
      <c r="D474" s="9">
        <v>12</v>
      </c>
      <c r="E474" s="4">
        <v>40666</v>
      </c>
      <c r="F474" s="5">
        <v>0.48680555555555555</v>
      </c>
      <c r="G474" s="6">
        <v>1.65</v>
      </c>
      <c r="H474" s="3">
        <v>14307</v>
      </c>
      <c r="I474" s="3" t="s">
        <v>5</v>
      </c>
      <c r="J474" s="3" t="str">
        <f t="shared" si="21"/>
        <v>Sale</v>
      </c>
      <c r="K474" s="6">
        <f t="shared" si="22"/>
        <v>19.799999999999997</v>
      </c>
      <c r="L474" s="6">
        <f t="shared" si="23"/>
        <v>19.799999999999997</v>
      </c>
    </row>
    <row r="475" spans="1:12" x14ac:dyDescent="0.35">
      <c r="A475" s="3">
        <v>536408</v>
      </c>
      <c r="B475" s="3">
        <v>16237</v>
      </c>
      <c r="C475" s="3" t="s">
        <v>387</v>
      </c>
      <c r="D475" s="9">
        <v>30</v>
      </c>
      <c r="E475" s="4">
        <v>40667</v>
      </c>
      <c r="F475" s="5">
        <v>0.48680555555555555</v>
      </c>
      <c r="G475" s="6">
        <v>0.21</v>
      </c>
      <c r="H475" s="3">
        <v>14307</v>
      </c>
      <c r="I475" s="3" t="s">
        <v>5</v>
      </c>
      <c r="J475" s="3" t="str">
        <f t="shared" si="21"/>
        <v>Sale</v>
      </c>
      <c r="K475" s="6">
        <f t="shared" si="22"/>
        <v>6.3</v>
      </c>
      <c r="L475" s="6">
        <f t="shared" si="23"/>
        <v>6.3</v>
      </c>
    </row>
    <row r="476" spans="1:12" x14ac:dyDescent="0.35">
      <c r="A476" s="3">
        <v>536408</v>
      </c>
      <c r="B476" s="3">
        <v>22714</v>
      </c>
      <c r="C476" s="3" t="s">
        <v>388</v>
      </c>
      <c r="D476" s="9">
        <v>12</v>
      </c>
      <c r="E476" s="4">
        <v>40668</v>
      </c>
      <c r="F476" s="5">
        <v>0.48680555555555555</v>
      </c>
      <c r="G476" s="6">
        <v>0.42</v>
      </c>
      <c r="H476" s="3">
        <v>14307</v>
      </c>
      <c r="I476" s="3" t="s">
        <v>5</v>
      </c>
      <c r="J476" s="3" t="str">
        <f t="shared" si="21"/>
        <v>Sale</v>
      </c>
      <c r="K476" s="6">
        <f t="shared" si="22"/>
        <v>5.04</v>
      </c>
      <c r="L476" s="6">
        <f t="shared" si="23"/>
        <v>5.04</v>
      </c>
    </row>
    <row r="477" spans="1:12" x14ac:dyDescent="0.35">
      <c r="A477" s="3">
        <v>536408</v>
      </c>
      <c r="B477" s="3">
        <v>22812</v>
      </c>
      <c r="C477" s="3" t="s">
        <v>389</v>
      </c>
      <c r="D477" s="9">
        <v>12</v>
      </c>
      <c r="E477" s="4">
        <v>40669</v>
      </c>
      <c r="F477" s="5">
        <v>0.48680555555555555</v>
      </c>
      <c r="G477" s="6">
        <v>1.95</v>
      </c>
      <c r="H477" s="3">
        <v>14307</v>
      </c>
      <c r="I477" s="3" t="s">
        <v>5</v>
      </c>
      <c r="J477" s="3" t="str">
        <f t="shared" si="21"/>
        <v>Sale</v>
      </c>
      <c r="K477" s="6">
        <f t="shared" si="22"/>
        <v>23.4</v>
      </c>
      <c r="L477" s="6">
        <f t="shared" si="23"/>
        <v>23.4</v>
      </c>
    </row>
    <row r="478" spans="1:12" x14ac:dyDescent="0.35">
      <c r="A478" s="3">
        <v>536408</v>
      </c>
      <c r="B478" s="3">
        <v>84347</v>
      </c>
      <c r="C478" s="3" t="s">
        <v>390</v>
      </c>
      <c r="D478" s="9">
        <v>6</v>
      </c>
      <c r="E478" s="4">
        <v>40670</v>
      </c>
      <c r="F478" s="5">
        <v>0.48680555555555555</v>
      </c>
      <c r="G478" s="6">
        <v>2.5499999999999998</v>
      </c>
      <c r="H478" s="3">
        <v>14307</v>
      </c>
      <c r="I478" s="3" t="s">
        <v>5</v>
      </c>
      <c r="J478" s="3" t="str">
        <f t="shared" si="21"/>
        <v>Sale</v>
      </c>
      <c r="K478" s="6">
        <f t="shared" si="22"/>
        <v>15.299999999999999</v>
      </c>
      <c r="L478" s="6">
        <f t="shared" si="23"/>
        <v>15.299999999999999</v>
      </c>
    </row>
    <row r="479" spans="1:12" x14ac:dyDescent="0.35">
      <c r="A479" s="3">
        <v>536408</v>
      </c>
      <c r="B479" s="3">
        <v>21587</v>
      </c>
      <c r="C479" s="3" t="s">
        <v>328</v>
      </c>
      <c r="D479" s="9">
        <v>12</v>
      </c>
      <c r="E479" s="4">
        <v>40671</v>
      </c>
      <c r="F479" s="5">
        <v>0.48680555555555555</v>
      </c>
      <c r="G479" s="6">
        <v>2.5499999999999998</v>
      </c>
      <c r="H479" s="3">
        <v>14307</v>
      </c>
      <c r="I479" s="3" t="s">
        <v>5</v>
      </c>
      <c r="J479" s="3" t="str">
        <f t="shared" si="21"/>
        <v>Sale</v>
      </c>
      <c r="K479" s="6">
        <f t="shared" si="22"/>
        <v>30.599999999999998</v>
      </c>
      <c r="L479" s="6">
        <f t="shared" si="23"/>
        <v>30.599999999999998</v>
      </c>
    </row>
    <row r="480" spans="1:12" x14ac:dyDescent="0.35">
      <c r="A480" s="3">
        <v>536408</v>
      </c>
      <c r="B480" s="3">
        <v>22736</v>
      </c>
      <c r="C480" s="3" t="s">
        <v>391</v>
      </c>
      <c r="D480" s="9">
        <v>10</v>
      </c>
      <c r="E480" s="4">
        <v>40672</v>
      </c>
      <c r="F480" s="5">
        <v>0.48680555555555555</v>
      </c>
      <c r="G480" s="6">
        <v>1.65</v>
      </c>
      <c r="H480" s="3">
        <v>14307</v>
      </c>
      <c r="I480" s="3" t="s">
        <v>5</v>
      </c>
      <c r="J480" s="3" t="str">
        <f t="shared" si="21"/>
        <v>Sale</v>
      </c>
      <c r="K480" s="6">
        <f t="shared" si="22"/>
        <v>16.5</v>
      </c>
      <c r="L480" s="6">
        <f t="shared" si="23"/>
        <v>16.5</v>
      </c>
    </row>
    <row r="481" spans="1:12" x14ac:dyDescent="0.35">
      <c r="A481" s="3">
        <v>536408</v>
      </c>
      <c r="B481" s="3">
        <v>22492</v>
      </c>
      <c r="C481" s="3" t="s">
        <v>112</v>
      </c>
      <c r="D481" s="9">
        <v>36</v>
      </c>
      <c r="E481" s="4">
        <v>40673</v>
      </c>
      <c r="F481" s="5">
        <v>0.48680555555555555</v>
      </c>
      <c r="G481" s="6">
        <v>0.65</v>
      </c>
      <c r="H481" s="3">
        <v>14307</v>
      </c>
      <c r="I481" s="3" t="s">
        <v>5</v>
      </c>
      <c r="J481" s="3" t="str">
        <f t="shared" si="21"/>
        <v>Sale</v>
      </c>
      <c r="K481" s="6">
        <f t="shared" si="22"/>
        <v>23.400000000000002</v>
      </c>
      <c r="L481" s="6">
        <f t="shared" si="23"/>
        <v>23.400000000000002</v>
      </c>
    </row>
    <row r="482" spans="1:12" x14ac:dyDescent="0.35">
      <c r="A482" s="3">
        <v>536408</v>
      </c>
      <c r="B482" s="3">
        <v>22620</v>
      </c>
      <c r="C482" s="3" t="s">
        <v>392</v>
      </c>
      <c r="D482" s="9">
        <v>12</v>
      </c>
      <c r="E482" s="4">
        <v>40674</v>
      </c>
      <c r="F482" s="5">
        <v>0.48680555555555555</v>
      </c>
      <c r="G482" s="6">
        <v>1.25</v>
      </c>
      <c r="H482" s="3">
        <v>14307</v>
      </c>
      <c r="I482" s="3" t="s">
        <v>5</v>
      </c>
      <c r="J482" s="3" t="str">
        <f t="shared" si="21"/>
        <v>Sale</v>
      </c>
      <c r="K482" s="6">
        <f t="shared" si="22"/>
        <v>15</v>
      </c>
      <c r="L482" s="6">
        <f t="shared" si="23"/>
        <v>15</v>
      </c>
    </row>
    <row r="483" spans="1:12" x14ac:dyDescent="0.35">
      <c r="A483" s="3">
        <v>536408</v>
      </c>
      <c r="B483" s="3">
        <v>22619</v>
      </c>
      <c r="C483" s="3" t="s">
        <v>254</v>
      </c>
      <c r="D483" s="9">
        <v>4</v>
      </c>
      <c r="E483" s="4">
        <v>40675</v>
      </c>
      <c r="F483" s="5">
        <v>0.48680555555555555</v>
      </c>
      <c r="G483" s="6">
        <v>3.75</v>
      </c>
      <c r="H483" s="3">
        <v>14307</v>
      </c>
      <c r="I483" s="3" t="s">
        <v>5</v>
      </c>
      <c r="J483" s="3" t="str">
        <f t="shared" si="21"/>
        <v>Sale</v>
      </c>
      <c r="K483" s="6">
        <f t="shared" si="22"/>
        <v>15</v>
      </c>
      <c r="L483" s="6">
        <f t="shared" si="23"/>
        <v>15</v>
      </c>
    </row>
    <row r="484" spans="1:12" x14ac:dyDescent="0.35">
      <c r="A484" s="3">
        <v>536408</v>
      </c>
      <c r="B484" s="3">
        <v>21705</v>
      </c>
      <c r="C484" s="3" t="s">
        <v>393</v>
      </c>
      <c r="D484" s="9">
        <v>12</v>
      </c>
      <c r="E484" s="4">
        <v>40676</v>
      </c>
      <c r="F484" s="5">
        <v>0.48680555555555555</v>
      </c>
      <c r="G484" s="6">
        <v>1.65</v>
      </c>
      <c r="H484" s="3">
        <v>14307</v>
      </c>
      <c r="I484" s="3" t="s">
        <v>5</v>
      </c>
      <c r="J484" s="3" t="str">
        <f t="shared" si="21"/>
        <v>Sale</v>
      </c>
      <c r="K484" s="6">
        <f t="shared" si="22"/>
        <v>19.799999999999997</v>
      </c>
      <c r="L484" s="6">
        <f t="shared" si="23"/>
        <v>19.799999999999997</v>
      </c>
    </row>
    <row r="485" spans="1:12" x14ac:dyDescent="0.35">
      <c r="A485" s="3">
        <v>536409</v>
      </c>
      <c r="B485" s="3" t="s">
        <v>51</v>
      </c>
      <c r="C485" s="3" t="s">
        <v>394</v>
      </c>
      <c r="D485" s="9">
        <v>3</v>
      </c>
      <c r="E485" s="4">
        <v>40677</v>
      </c>
      <c r="F485" s="5">
        <v>0.48958333333333331</v>
      </c>
      <c r="G485" s="6">
        <v>6.35</v>
      </c>
      <c r="H485" s="3">
        <v>17908</v>
      </c>
      <c r="I485" s="3" t="s">
        <v>5</v>
      </c>
      <c r="J485" s="3" t="str">
        <f t="shared" si="21"/>
        <v>Sale</v>
      </c>
      <c r="K485" s="6">
        <f t="shared" si="22"/>
        <v>19.049999999999997</v>
      </c>
      <c r="L485" s="6">
        <f t="shared" si="23"/>
        <v>19.049999999999997</v>
      </c>
    </row>
    <row r="486" spans="1:12" x14ac:dyDescent="0.35">
      <c r="A486" s="3">
        <v>536409</v>
      </c>
      <c r="B486" s="3">
        <v>21479</v>
      </c>
      <c r="C486" s="3" t="s">
        <v>286</v>
      </c>
      <c r="D486" s="9">
        <v>1</v>
      </c>
      <c r="E486" s="4">
        <v>40678</v>
      </c>
      <c r="F486" s="5">
        <v>0.48958333333333331</v>
      </c>
      <c r="G486" s="6">
        <v>3.75</v>
      </c>
      <c r="H486" s="3">
        <v>17908</v>
      </c>
      <c r="I486" s="3" t="s">
        <v>5</v>
      </c>
      <c r="J486" s="3" t="str">
        <f t="shared" si="21"/>
        <v>Sale</v>
      </c>
      <c r="K486" s="6">
        <f t="shared" si="22"/>
        <v>3.75</v>
      </c>
      <c r="L486" s="6">
        <f t="shared" si="23"/>
        <v>3.75</v>
      </c>
    </row>
    <row r="487" spans="1:12" x14ac:dyDescent="0.35">
      <c r="A487" s="3">
        <v>536409</v>
      </c>
      <c r="B487" s="3">
        <v>22111</v>
      </c>
      <c r="C487" s="3" t="s">
        <v>287</v>
      </c>
      <c r="D487" s="9">
        <v>1</v>
      </c>
      <c r="E487" s="4">
        <v>40679</v>
      </c>
      <c r="F487" s="5">
        <v>0.48958333333333331</v>
      </c>
      <c r="G487" s="6">
        <v>4.95</v>
      </c>
      <c r="H487" s="3">
        <v>17908</v>
      </c>
      <c r="I487" s="3" t="s">
        <v>5</v>
      </c>
      <c r="J487" s="3" t="str">
        <f t="shared" si="21"/>
        <v>Sale</v>
      </c>
      <c r="K487" s="6">
        <f t="shared" si="22"/>
        <v>4.95</v>
      </c>
      <c r="L487" s="6">
        <f t="shared" si="23"/>
        <v>4.95</v>
      </c>
    </row>
    <row r="488" spans="1:12" x14ac:dyDescent="0.35">
      <c r="A488" s="3">
        <v>536409</v>
      </c>
      <c r="B488" s="3">
        <v>22785</v>
      </c>
      <c r="C488" s="3" t="s">
        <v>395</v>
      </c>
      <c r="D488" s="9">
        <v>1</v>
      </c>
      <c r="E488" s="4">
        <v>40680</v>
      </c>
      <c r="F488" s="5">
        <v>0.48958333333333331</v>
      </c>
      <c r="G488" s="6">
        <v>6.75</v>
      </c>
      <c r="H488" s="3">
        <v>17908</v>
      </c>
      <c r="I488" s="3" t="s">
        <v>5</v>
      </c>
      <c r="J488" s="3" t="str">
        <f t="shared" si="21"/>
        <v>Sale</v>
      </c>
      <c r="K488" s="6">
        <f t="shared" si="22"/>
        <v>6.75</v>
      </c>
      <c r="L488" s="6">
        <f t="shared" si="23"/>
        <v>6.75</v>
      </c>
    </row>
    <row r="489" spans="1:12" x14ac:dyDescent="0.35">
      <c r="A489" s="3">
        <v>536409</v>
      </c>
      <c r="B489" s="3">
        <v>22975</v>
      </c>
      <c r="C489" s="3" t="s">
        <v>396</v>
      </c>
      <c r="D489" s="9">
        <v>1</v>
      </c>
      <c r="E489" s="4">
        <v>40681</v>
      </c>
      <c r="F489" s="5">
        <v>0.48958333333333331</v>
      </c>
      <c r="G489" s="6">
        <v>1.25</v>
      </c>
      <c r="H489" s="3">
        <v>17908</v>
      </c>
      <c r="I489" s="3" t="s">
        <v>5</v>
      </c>
      <c r="J489" s="3" t="str">
        <f t="shared" si="21"/>
        <v>Sale</v>
      </c>
      <c r="K489" s="6">
        <f t="shared" si="22"/>
        <v>1.25</v>
      </c>
      <c r="L489" s="6">
        <f t="shared" si="23"/>
        <v>1.25</v>
      </c>
    </row>
    <row r="490" spans="1:12" x14ac:dyDescent="0.35">
      <c r="A490" s="3">
        <v>536409</v>
      </c>
      <c r="B490" s="3">
        <v>22972</v>
      </c>
      <c r="C490" s="3" t="s">
        <v>397</v>
      </c>
      <c r="D490" s="9">
        <v>1</v>
      </c>
      <c r="E490" s="4">
        <v>40682</v>
      </c>
      <c r="F490" s="5">
        <v>0.48958333333333331</v>
      </c>
      <c r="G490" s="6">
        <v>1.65</v>
      </c>
      <c r="H490" s="3">
        <v>17908</v>
      </c>
      <c r="I490" s="3" t="s">
        <v>5</v>
      </c>
      <c r="J490" s="3" t="str">
        <f t="shared" si="21"/>
        <v>Sale</v>
      </c>
      <c r="K490" s="6">
        <f t="shared" si="22"/>
        <v>1.65</v>
      </c>
      <c r="L490" s="6">
        <f t="shared" si="23"/>
        <v>1.65</v>
      </c>
    </row>
    <row r="491" spans="1:12" x14ac:dyDescent="0.35">
      <c r="A491" s="3">
        <v>536409</v>
      </c>
      <c r="B491" s="3">
        <v>22866</v>
      </c>
      <c r="C491" s="3" t="s">
        <v>264</v>
      </c>
      <c r="D491" s="9">
        <v>1</v>
      </c>
      <c r="E491" s="4">
        <v>40683</v>
      </c>
      <c r="F491" s="5">
        <v>0.48958333333333331</v>
      </c>
      <c r="G491" s="6">
        <v>2.1</v>
      </c>
      <c r="H491" s="3">
        <v>17908</v>
      </c>
      <c r="I491" s="3" t="s">
        <v>5</v>
      </c>
      <c r="J491" s="3" t="str">
        <f t="shared" si="21"/>
        <v>Sale</v>
      </c>
      <c r="K491" s="6">
        <f t="shared" si="22"/>
        <v>2.1</v>
      </c>
      <c r="L491" s="6">
        <f t="shared" si="23"/>
        <v>2.1</v>
      </c>
    </row>
    <row r="492" spans="1:12" x14ac:dyDescent="0.35">
      <c r="A492" s="3">
        <v>536409</v>
      </c>
      <c r="B492" s="3">
        <v>22568</v>
      </c>
      <c r="C492" s="3" t="s">
        <v>398</v>
      </c>
      <c r="D492" s="9">
        <v>1</v>
      </c>
      <c r="E492" s="4">
        <v>40684</v>
      </c>
      <c r="F492" s="5">
        <v>0.48958333333333331</v>
      </c>
      <c r="G492" s="6">
        <v>3.75</v>
      </c>
      <c r="H492" s="3">
        <v>17908</v>
      </c>
      <c r="I492" s="3" t="s">
        <v>5</v>
      </c>
      <c r="J492" s="3" t="str">
        <f t="shared" si="21"/>
        <v>Sale</v>
      </c>
      <c r="K492" s="6">
        <f t="shared" si="22"/>
        <v>3.75</v>
      </c>
      <c r="L492" s="6">
        <f t="shared" si="23"/>
        <v>3.75</v>
      </c>
    </row>
    <row r="493" spans="1:12" x14ac:dyDescent="0.35">
      <c r="A493" s="3">
        <v>536409</v>
      </c>
      <c r="B493" s="3">
        <v>85116</v>
      </c>
      <c r="C493" s="3" t="s">
        <v>399</v>
      </c>
      <c r="D493" s="9">
        <v>1</v>
      </c>
      <c r="E493" s="4">
        <v>40685</v>
      </c>
      <c r="F493" s="5">
        <v>0.48958333333333331</v>
      </c>
      <c r="G493" s="6">
        <v>2.1</v>
      </c>
      <c r="H493" s="3">
        <v>17908</v>
      </c>
      <c r="I493" s="3" t="s">
        <v>5</v>
      </c>
      <c r="J493" s="3" t="str">
        <f t="shared" si="21"/>
        <v>Sale</v>
      </c>
      <c r="K493" s="6">
        <f t="shared" si="22"/>
        <v>2.1</v>
      </c>
      <c r="L493" s="6">
        <f t="shared" si="23"/>
        <v>2.1</v>
      </c>
    </row>
    <row r="494" spans="1:12" x14ac:dyDescent="0.35">
      <c r="A494" s="3">
        <v>536409</v>
      </c>
      <c r="B494" s="3">
        <v>22664</v>
      </c>
      <c r="C494" s="3" t="s">
        <v>400</v>
      </c>
      <c r="D494" s="9">
        <v>1</v>
      </c>
      <c r="E494" s="4">
        <v>40686</v>
      </c>
      <c r="F494" s="5">
        <v>0.48958333333333331</v>
      </c>
      <c r="G494" s="6">
        <v>2.1</v>
      </c>
      <c r="H494" s="3">
        <v>17908</v>
      </c>
      <c r="I494" s="3" t="s">
        <v>5</v>
      </c>
      <c r="J494" s="3" t="str">
        <f t="shared" si="21"/>
        <v>Sale</v>
      </c>
      <c r="K494" s="6">
        <f t="shared" si="22"/>
        <v>2.1</v>
      </c>
      <c r="L494" s="6">
        <f t="shared" si="23"/>
        <v>2.1</v>
      </c>
    </row>
    <row r="495" spans="1:12" x14ac:dyDescent="0.35">
      <c r="A495" s="3">
        <v>536409</v>
      </c>
      <c r="B495" s="3">
        <v>21609</v>
      </c>
      <c r="C495" s="3" t="s">
        <v>401</v>
      </c>
      <c r="D495" s="9">
        <v>1</v>
      </c>
      <c r="E495" s="4">
        <v>40687</v>
      </c>
      <c r="F495" s="5">
        <v>0.48958333333333331</v>
      </c>
      <c r="G495" s="6">
        <v>2.95</v>
      </c>
      <c r="H495" s="3">
        <v>17908</v>
      </c>
      <c r="I495" s="3" t="s">
        <v>5</v>
      </c>
      <c r="J495" s="3" t="str">
        <f t="shared" si="21"/>
        <v>Sale</v>
      </c>
      <c r="K495" s="6">
        <f t="shared" si="22"/>
        <v>2.95</v>
      </c>
      <c r="L495" s="6">
        <f t="shared" si="23"/>
        <v>2.95</v>
      </c>
    </row>
    <row r="496" spans="1:12" x14ac:dyDescent="0.35">
      <c r="A496" s="3">
        <v>536409</v>
      </c>
      <c r="B496" s="3">
        <v>21866</v>
      </c>
      <c r="C496" s="3" t="s">
        <v>402</v>
      </c>
      <c r="D496" s="9">
        <v>1</v>
      </c>
      <c r="E496" s="4">
        <v>40688</v>
      </c>
      <c r="F496" s="5">
        <v>0.48958333333333331</v>
      </c>
      <c r="G496" s="6">
        <v>1.25</v>
      </c>
      <c r="H496" s="3">
        <v>17908</v>
      </c>
      <c r="I496" s="3" t="s">
        <v>5</v>
      </c>
      <c r="J496" s="3" t="str">
        <f t="shared" si="21"/>
        <v>Sale</v>
      </c>
      <c r="K496" s="6">
        <f t="shared" si="22"/>
        <v>1.25</v>
      </c>
      <c r="L496" s="6">
        <f t="shared" si="23"/>
        <v>1.25</v>
      </c>
    </row>
    <row r="497" spans="1:12" x14ac:dyDescent="0.35">
      <c r="A497" s="3">
        <v>536409</v>
      </c>
      <c r="B497" s="3">
        <v>20669</v>
      </c>
      <c r="C497" s="3" t="s">
        <v>403</v>
      </c>
      <c r="D497" s="9">
        <v>1</v>
      </c>
      <c r="E497" s="4">
        <v>40689</v>
      </c>
      <c r="F497" s="5">
        <v>0.48958333333333331</v>
      </c>
      <c r="G497" s="6">
        <v>1.25</v>
      </c>
      <c r="H497" s="3">
        <v>17908</v>
      </c>
      <c r="I497" s="3" t="s">
        <v>5</v>
      </c>
      <c r="J497" s="3" t="str">
        <f t="shared" si="21"/>
        <v>Sale</v>
      </c>
      <c r="K497" s="6">
        <f t="shared" si="22"/>
        <v>1.25</v>
      </c>
      <c r="L497" s="6">
        <f t="shared" si="23"/>
        <v>1.25</v>
      </c>
    </row>
    <row r="498" spans="1:12" x14ac:dyDescent="0.35">
      <c r="A498" s="3">
        <v>536409</v>
      </c>
      <c r="B498" s="3" t="s">
        <v>52</v>
      </c>
      <c r="C498" s="3" t="s">
        <v>404</v>
      </c>
      <c r="D498" s="9">
        <v>1</v>
      </c>
      <c r="E498" s="4">
        <v>40690</v>
      </c>
      <c r="F498" s="5">
        <v>0.48958333333333331</v>
      </c>
      <c r="G498" s="6">
        <v>2.95</v>
      </c>
      <c r="H498" s="3">
        <v>17908</v>
      </c>
      <c r="I498" s="3" t="s">
        <v>5</v>
      </c>
      <c r="J498" s="3" t="str">
        <f t="shared" si="21"/>
        <v>Sale</v>
      </c>
      <c r="K498" s="6">
        <f t="shared" si="22"/>
        <v>2.95</v>
      </c>
      <c r="L498" s="6">
        <f t="shared" si="23"/>
        <v>2.95</v>
      </c>
    </row>
    <row r="499" spans="1:12" x14ac:dyDescent="0.35">
      <c r="A499" s="3">
        <v>536409</v>
      </c>
      <c r="B499" s="3" t="s">
        <v>53</v>
      </c>
      <c r="C499" s="3" t="s">
        <v>405</v>
      </c>
      <c r="D499" s="9">
        <v>1</v>
      </c>
      <c r="E499" s="4">
        <v>40691</v>
      </c>
      <c r="F499" s="5">
        <v>0.48958333333333331</v>
      </c>
      <c r="G499" s="6">
        <v>2.95</v>
      </c>
      <c r="H499" s="3">
        <v>17908</v>
      </c>
      <c r="I499" s="3" t="s">
        <v>5</v>
      </c>
      <c r="J499" s="3" t="str">
        <f t="shared" si="21"/>
        <v>Sale</v>
      </c>
      <c r="K499" s="6">
        <f t="shared" si="22"/>
        <v>2.95</v>
      </c>
      <c r="L499" s="6">
        <f t="shared" si="23"/>
        <v>2.95</v>
      </c>
    </row>
    <row r="500" spans="1:12" x14ac:dyDescent="0.35">
      <c r="A500" s="3">
        <v>536409</v>
      </c>
      <c r="B500" s="3" t="s">
        <v>51</v>
      </c>
      <c r="C500" s="3" t="s">
        <v>394</v>
      </c>
      <c r="D500" s="9">
        <v>1</v>
      </c>
      <c r="E500" s="4">
        <v>40692</v>
      </c>
      <c r="F500" s="5">
        <v>0.48958333333333331</v>
      </c>
      <c r="G500" s="6">
        <v>6.35</v>
      </c>
      <c r="H500" s="3">
        <v>17908</v>
      </c>
      <c r="I500" s="3" t="s">
        <v>5</v>
      </c>
      <c r="J500" s="3" t="str">
        <f t="shared" si="21"/>
        <v>Sale</v>
      </c>
      <c r="K500" s="6">
        <f t="shared" si="22"/>
        <v>6.35</v>
      </c>
      <c r="L500" s="6">
        <f t="shared" si="23"/>
        <v>6.35</v>
      </c>
    </row>
    <row r="501" spans="1:12" x14ac:dyDescent="0.35">
      <c r="A501" s="3">
        <v>536409</v>
      </c>
      <c r="B501" s="3">
        <v>21955</v>
      </c>
      <c r="C501" s="3" t="s">
        <v>406</v>
      </c>
      <c r="D501" s="9">
        <v>1</v>
      </c>
      <c r="E501" s="4">
        <v>40693</v>
      </c>
      <c r="F501" s="5">
        <v>0.48958333333333331</v>
      </c>
      <c r="G501" s="6">
        <v>7.95</v>
      </c>
      <c r="H501" s="3">
        <v>17908</v>
      </c>
      <c r="I501" s="3" t="s">
        <v>5</v>
      </c>
      <c r="J501" s="3" t="str">
        <f t="shared" si="21"/>
        <v>Sale</v>
      </c>
      <c r="K501" s="6">
        <f t="shared" si="22"/>
        <v>7.95</v>
      </c>
      <c r="L501" s="6">
        <f t="shared" si="23"/>
        <v>7.95</v>
      </c>
    </row>
    <row r="502" spans="1:12" x14ac:dyDescent="0.35">
      <c r="A502" s="3">
        <v>536409</v>
      </c>
      <c r="B502" s="3" t="s">
        <v>54</v>
      </c>
      <c r="C502" s="3" t="s">
        <v>407</v>
      </c>
      <c r="D502" s="9">
        <v>1</v>
      </c>
      <c r="E502" s="4">
        <v>40694</v>
      </c>
      <c r="F502" s="5">
        <v>0.48958333333333331</v>
      </c>
      <c r="G502" s="6">
        <v>4.25</v>
      </c>
      <c r="H502" s="3">
        <v>17908</v>
      </c>
      <c r="I502" s="3" t="s">
        <v>5</v>
      </c>
      <c r="J502" s="3" t="str">
        <f t="shared" si="21"/>
        <v>Sale</v>
      </c>
      <c r="K502" s="6">
        <f t="shared" si="22"/>
        <v>4.25</v>
      </c>
      <c r="L502" s="6">
        <f t="shared" si="23"/>
        <v>4.25</v>
      </c>
    </row>
    <row r="503" spans="1:12" x14ac:dyDescent="0.35">
      <c r="A503" s="3">
        <v>536409</v>
      </c>
      <c r="B503" s="3">
        <v>22109</v>
      </c>
      <c r="C503" s="3" t="s">
        <v>408</v>
      </c>
      <c r="D503" s="9">
        <v>1</v>
      </c>
      <c r="E503" s="4">
        <v>40695</v>
      </c>
      <c r="F503" s="5">
        <v>0.48958333333333331</v>
      </c>
      <c r="G503" s="6">
        <v>3.75</v>
      </c>
      <c r="H503" s="3">
        <v>17908</v>
      </c>
      <c r="I503" s="3" t="s">
        <v>5</v>
      </c>
      <c r="J503" s="3" t="str">
        <f t="shared" si="21"/>
        <v>Sale</v>
      </c>
      <c r="K503" s="6">
        <f t="shared" si="22"/>
        <v>3.75</v>
      </c>
      <c r="L503" s="6">
        <f t="shared" si="23"/>
        <v>3.75</v>
      </c>
    </row>
    <row r="504" spans="1:12" x14ac:dyDescent="0.35">
      <c r="A504" s="3">
        <v>536409</v>
      </c>
      <c r="B504" s="3">
        <v>85116</v>
      </c>
      <c r="C504" s="3" t="s">
        <v>399</v>
      </c>
      <c r="D504" s="9">
        <v>5</v>
      </c>
      <c r="E504" s="4">
        <v>40696</v>
      </c>
      <c r="F504" s="5">
        <v>0.48958333333333331</v>
      </c>
      <c r="G504" s="6">
        <v>2.1</v>
      </c>
      <c r="H504" s="3">
        <v>17908</v>
      </c>
      <c r="I504" s="3" t="s">
        <v>5</v>
      </c>
      <c r="J504" s="3" t="str">
        <f t="shared" si="21"/>
        <v>Sale</v>
      </c>
      <c r="K504" s="6">
        <f t="shared" si="22"/>
        <v>10.5</v>
      </c>
      <c r="L504" s="6">
        <f t="shared" si="23"/>
        <v>10.5</v>
      </c>
    </row>
    <row r="505" spans="1:12" x14ac:dyDescent="0.35">
      <c r="A505" s="3">
        <v>536409</v>
      </c>
      <c r="B505" s="3">
        <v>22531</v>
      </c>
      <c r="C505" s="3" t="s">
        <v>409</v>
      </c>
      <c r="D505" s="9">
        <v>1</v>
      </c>
      <c r="E505" s="4">
        <v>40697</v>
      </c>
      <c r="F505" s="5">
        <v>0.48958333333333331</v>
      </c>
      <c r="G505" s="6">
        <v>0.42</v>
      </c>
      <c r="H505" s="3">
        <v>17908</v>
      </c>
      <c r="I505" s="3" t="s">
        <v>5</v>
      </c>
      <c r="J505" s="3" t="str">
        <f t="shared" si="21"/>
        <v>Sale</v>
      </c>
      <c r="K505" s="6">
        <f t="shared" si="22"/>
        <v>0.42</v>
      </c>
      <c r="L505" s="6">
        <f t="shared" si="23"/>
        <v>0.42</v>
      </c>
    </row>
    <row r="506" spans="1:12" x14ac:dyDescent="0.35">
      <c r="A506" s="3">
        <v>536409</v>
      </c>
      <c r="B506" s="3">
        <v>21811</v>
      </c>
      <c r="C506" s="3" t="s">
        <v>410</v>
      </c>
      <c r="D506" s="9">
        <v>1</v>
      </c>
      <c r="E506" s="4">
        <v>40698</v>
      </c>
      <c r="F506" s="5">
        <v>0.48958333333333331</v>
      </c>
      <c r="G506" s="6">
        <v>1.25</v>
      </c>
      <c r="H506" s="3">
        <v>17908</v>
      </c>
      <c r="I506" s="3" t="s">
        <v>5</v>
      </c>
      <c r="J506" s="3" t="str">
        <f t="shared" si="21"/>
        <v>Sale</v>
      </c>
      <c r="K506" s="6">
        <f t="shared" si="22"/>
        <v>1.25</v>
      </c>
      <c r="L506" s="6">
        <f t="shared" si="23"/>
        <v>1.25</v>
      </c>
    </row>
    <row r="507" spans="1:12" x14ac:dyDescent="0.35">
      <c r="A507" s="3">
        <v>536409</v>
      </c>
      <c r="B507" s="3">
        <v>22183</v>
      </c>
      <c r="C507" s="3" t="s">
        <v>411</v>
      </c>
      <c r="D507" s="9">
        <v>1</v>
      </c>
      <c r="E507" s="4">
        <v>40699</v>
      </c>
      <c r="F507" s="5">
        <v>0.48958333333333331</v>
      </c>
      <c r="G507" s="6">
        <v>6.75</v>
      </c>
      <c r="H507" s="3">
        <v>17908</v>
      </c>
      <c r="I507" s="3" t="s">
        <v>5</v>
      </c>
      <c r="J507" s="3" t="str">
        <f t="shared" si="21"/>
        <v>Sale</v>
      </c>
      <c r="K507" s="6">
        <f t="shared" si="22"/>
        <v>6.75</v>
      </c>
      <c r="L507" s="6">
        <f t="shared" si="23"/>
        <v>6.75</v>
      </c>
    </row>
    <row r="508" spans="1:12" x14ac:dyDescent="0.35">
      <c r="A508" s="3">
        <v>536409</v>
      </c>
      <c r="B508" s="3">
        <v>21678</v>
      </c>
      <c r="C508" s="3" t="s">
        <v>412</v>
      </c>
      <c r="D508" s="9">
        <v>6</v>
      </c>
      <c r="E508" s="4">
        <v>40700</v>
      </c>
      <c r="F508" s="5">
        <v>0.48958333333333331</v>
      </c>
      <c r="G508" s="6">
        <v>0.85</v>
      </c>
      <c r="H508" s="3">
        <v>17908</v>
      </c>
      <c r="I508" s="3" t="s">
        <v>5</v>
      </c>
      <c r="J508" s="3" t="str">
        <f t="shared" si="21"/>
        <v>Sale</v>
      </c>
      <c r="K508" s="6">
        <f t="shared" si="22"/>
        <v>5.0999999999999996</v>
      </c>
      <c r="L508" s="6">
        <f t="shared" si="23"/>
        <v>5.0999999999999996</v>
      </c>
    </row>
    <row r="509" spans="1:12" x14ac:dyDescent="0.35">
      <c r="A509" s="3">
        <v>536409</v>
      </c>
      <c r="B509" s="3">
        <v>21676</v>
      </c>
      <c r="C509" s="3" t="s">
        <v>413</v>
      </c>
      <c r="D509" s="9">
        <v>6</v>
      </c>
      <c r="E509" s="4">
        <v>40701</v>
      </c>
      <c r="F509" s="5">
        <v>0.48958333333333331</v>
      </c>
      <c r="G509" s="6">
        <v>0.85</v>
      </c>
      <c r="H509" s="3">
        <v>17908</v>
      </c>
      <c r="I509" s="3" t="s">
        <v>5</v>
      </c>
      <c r="J509" s="3" t="str">
        <f t="shared" si="21"/>
        <v>Sale</v>
      </c>
      <c r="K509" s="6">
        <f t="shared" si="22"/>
        <v>5.0999999999999996</v>
      </c>
      <c r="L509" s="6">
        <f t="shared" si="23"/>
        <v>5.0999999999999996</v>
      </c>
    </row>
    <row r="510" spans="1:12" x14ac:dyDescent="0.35">
      <c r="A510" s="3">
        <v>536409</v>
      </c>
      <c r="B510" s="3" t="s">
        <v>44</v>
      </c>
      <c r="C510" s="3" t="s">
        <v>337</v>
      </c>
      <c r="D510" s="9">
        <v>1</v>
      </c>
      <c r="E510" s="4">
        <v>40702</v>
      </c>
      <c r="F510" s="5">
        <v>0.48958333333333331</v>
      </c>
      <c r="G510" s="6">
        <v>2.95</v>
      </c>
      <c r="H510" s="3">
        <v>17908</v>
      </c>
      <c r="I510" s="3" t="s">
        <v>5</v>
      </c>
      <c r="J510" s="3" t="str">
        <f t="shared" si="21"/>
        <v>Sale</v>
      </c>
      <c r="K510" s="6">
        <f t="shared" si="22"/>
        <v>2.95</v>
      </c>
      <c r="L510" s="6">
        <f t="shared" si="23"/>
        <v>2.95</v>
      </c>
    </row>
    <row r="511" spans="1:12" x14ac:dyDescent="0.35">
      <c r="A511" s="3">
        <v>536409</v>
      </c>
      <c r="B511" s="3" t="s">
        <v>43</v>
      </c>
      <c r="C511" s="3" t="s">
        <v>336</v>
      </c>
      <c r="D511" s="9">
        <v>3</v>
      </c>
      <c r="E511" s="4">
        <v>40703</v>
      </c>
      <c r="F511" s="5">
        <v>0.48958333333333331</v>
      </c>
      <c r="G511" s="6">
        <v>2.95</v>
      </c>
      <c r="H511" s="3">
        <v>17908</v>
      </c>
      <c r="I511" s="3" t="s">
        <v>5</v>
      </c>
      <c r="J511" s="3" t="str">
        <f t="shared" si="21"/>
        <v>Sale</v>
      </c>
      <c r="K511" s="6">
        <f t="shared" si="22"/>
        <v>8.8500000000000014</v>
      </c>
      <c r="L511" s="6">
        <f t="shared" si="23"/>
        <v>8.8500000000000014</v>
      </c>
    </row>
    <row r="512" spans="1:12" x14ac:dyDescent="0.35">
      <c r="A512" s="3">
        <v>536409</v>
      </c>
      <c r="B512" s="3">
        <v>21931</v>
      </c>
      <c r="C512" s="3" t="s">
        <v>144</v>
      </c>
      <c r="D512" s="9">
        <v>2</v>
      </c>
      <c r="E512" s="4">
        <v>40704</v>
      </c>
      <c r="F512" s="5">
        <v>0.48958333333333331</v>
      </c>
      <c r="G512" s="6">
        <v>1.95</v>
      </c>
      <c r="H512" s="3">
        <v>17908</v>
      </c>
      <c r="I512" s="3" t="s">
        <v>5</v>
      </c>
      <c r="J512" s="3" t="str">
        <f t="shared" si="21"/>
        <v>Sale</v>
      </c>
      <c r="K512" s="6">
        <f t="shared" si="22"/>
        <v>3.9</v>
      </c>
      <c r="L512" s="6">
        <f t="shared" si="23"/>
        <v>3.9</v>
      </c>
    </row>
    <row r="513" spans="1:12" x14ac:dyDescent="0.35">
      <c r="A513" s="3">
        <v>536409</v>
      </c>
      <c r="B513" s="3" t="s">
        <v>55</v>
      </c>
      <c r="C513" s="3" t="s">
        <v>414</v>
      </c>
      <c r="D513" s="9">
        <v>12</v>
      </c>
      <c r="E513" s="4">
        <v>40705</v>
      </c>
      <c r="F513" s="5">
        <v>0.48958333333333331</v>
      </c>
      <c r="G513" s="6">
        <v>1.25</v>
      </c>
      <c r="H513" s="3">
        <v>17908</v>
      </c>
      <c r="I513" s="3" t="s">
        <v>5</v>
      </c>
      <c r="J513" s="3" t="str">
        <f t="shared" si="21"/>
        <v>Sale</v>
      </c>
      <c r="K513" s="6">
        <f t="shared" si="22"/>
        <v>15</v>
      </c>
      <c r="L513" s="6">
        <f t="shared" si="23"/>
        <v>15</v>
      </c>
    </row>
    <row r="514" spans="1:12" x14ac:dyDescent="0.35">
      <c r="A514" s="3">
        <v>536409</v>
      </c>
      <c r="B514" s="3">
        <v>16238</v>
      </c>
      <c r="C514" s="3" t="s">
        <v>415</v>
      </c>
      <c r="D514" s="9">
        <v>28</v>
      </c>
      <c r="E514" s="4">
        <v>40706</v>
      </c>
      <c r="F514" s="5">
        <v>0.48958333333333331</v>
      </c>
      <c r="G514" s="6">
        <v>0.21</v>
      </c>
      <c r="H514" s="3">
        <v>17908</v>
      </c>
      <c r="I514" s="3" t="s">
        <v>5</v>
      </c>
      <c r="J514" s="3" t="str">
        <f t="shared" ref="J514:J577" si="24">IF(D514&lt;1,"Return","Sale")</f>
        <v>Sale</v>
      </c>
      <c r="K514" s="6">
        <f t="shared" ref="K514:K577" si="25">D514*G514</f>
        <v>5.88</v>
      </c>
      <c r="L514" s="6">
        <f t="shared" si="23"/>
        <v>5.88</v>
      </c>
    </row>
    <row r="515" spans="1:12" x14ac:dyDescent="0.35">
      <c r="A515" s="3">
        <v>536409</v>
      </c>
      <c r="B515" s="3">
        <v>20668</v>
      </c>
      <c r="C515" s="3" t="s">
        <v>236</v>
      </c>
      <c r="D515" s="9">
        <v>24</v>
      </c>
      <c r="E515" s="4">
        <v>40707</v>
      </c>
      <c r="F515" s="5">
        <v>0.48958333333333331</v>
      </c>
      <c r="G515" s="6">
        <v>0.12</v>
      </c>
      <c r="H515" s="3">
        <v>17908</v>
      </c>
      <c r="I515" s="3" t="s">
        <v>5</v>
      </c>
      <c r="J515" s="3" t="str">
        <f t="shared" si="24"/>
        <v>Sale</v>
      </c>
      <c r="K515" s="6">
        <f t="shared" si="25"/>
        <v>2.88</v>
      </c>
      <c r="L515" s="6">
        <f t="shared" ref="L515:L578" si="26" xml:space="preserve"> ABS(K515)</f>
        <v>2.88</v>
      </c>
    </row>
    <row r="516" spans="1:12" x14ac:dyDescent="0.35">
      <c r="A516" s="3">
        <v>536409</v>
      </c>
      <c r="B516" s="3">
        <v>84906</v>
      </c>
      <c r="C516" s="3" t="s">
        <v>416</v>
      </c>
      <c r="D516" s="9">
        <v>1</v>
      </c>
      <c r="E516" s="4">
        <v>40708</v>
      </c>
      <c r="F516" s="5">
        <v>0.48958333333333331</v>
      </c>
      <c r="G516" s="6">
        <v>5.95</v>
      </c>
      <c r="H516" s="3">
        <v>17908</v>
      </c>
      <c r="I516" s="3" t="s">
        <v>5</v>
      </c>
      <c r="J516" s="3" t="str">
        <f t="shared" si="24"/>
        <v>Sale</v>
      </c>
      <c r="K516" s="6">
        <f t="shared" si="25"/>
        <v>5.95</v>
      </c>
      <c r="L516" s="6">
        <f t="shared" si="26"/>
        <v>5.95</v>
      </c>
    </row>
    <row r="517" spans="1:12" x14ac:dyDescent="0.35">
      <c r="A517" s="3">
        <v>536409</v>
      </c>
      <c r="B517" s="3">
        <v>21867</v>
      </c>
      <c r="C517" s="3" t="s">
        <v>417</v>
      </c>
      <c r="D517" s="9">
        <v>1</v>
      </c>
      <c r="E517" s="4">
        <v>40709</v>
      </c>
      <c r="F517" s="5">
        <v>0.48958333333333331</v>
      </c>
      <c r="G517" s="6">
        <v>1.25</v>
      </c>
      <c r="H517" s="3">
        <v>17908</v>
      </c>
      <c r="I517" s="3" t="s">
        <v>5</v>
      </c>
      <c r="J517" s="3" t="str">
        <f t="shared" si="24"/>
        <v>Sale</v>
      </c>
      <c r="K517" s="6">
        <f t="shared" si="25"/>
        <v>1.25</v>
      </c>
      <c r="L517" s="6">
        <f t="shared" si="26"/>
        <v>1.25</v>
      </c>
    </row>
    <row r="518" spans="1:12" x14ac:dyDescent="0.35">
      <c r="A518" s="3">
        <v>536409</v>
      </c>
      <c r="B518" s="3">
        <v>22075</v>
      </c>
      <c r="C518" s="3" t="s">
        <v>418</v>
      </c>
      <c r="D518" s="9">
        <v>1</v>
      </c>
      <c r="E518" s="4">
        <v>40710</v>
      </c>
      <c r="F518" s="5">
        <v>0.48958333333333331</v>
      </c>
      <c r="G518" s="6">
        <v>1.65</v>
      </c>
      <c r="H518" s="3">
        <v>17908</v>
      </c>
      <c r="I518" s="3" t="s">
        <v>5</v>
      </c>
      <c r="J518" s="3" t="str">
        <f t="shared" si="24"/>
        <v>Sale</v>
      </c>
      <c r="K518" s="6">
        <f t="shared" si="25"/>
        <v>1.65</v>
      </c>
      <c r="L518" s="6">
        <f t="shared" si="26"/>
        <v>1.65</v>
      </c>
    </row>
    <row r="519" spans="1:12" x14ac:dyDescent="0.35">
      <c r="A519" s="3">
        <v>536409</v>
      </c>
      <c r="B519" s="3">
        <v>21326</v>
      </c>
      <c r="C519" s="3" t="s">
        <v>419</v>
      </c>
      <c r="D519" s="9">
        <v>12</v>
      </c>
      <c r="E519" s="4">
        <v>40711</v>
      </c>
      <c r="F519" s="5">
        <v>0.48958333333333331</v>
      </c>
      <c r="G519" s="6">
        <v>0.65</v>
      </c>
      <c r="H519" s="3">
        <v>17908</v>
      </c>
      <c r="I519" s="3" t="s">
        <v>5</v>
      </c>
      <c r="J519" s="3" t="str">
        <f t="shared" si="24"/>
        <v>Sale</v>
      </c>
      <c r="K519" s="6">
        <f t="shared" si="25"/>
        <v>7.8000000000000007</v>
      </c>
      <c r="L519" s="6">
        <f t="shared" si="26"/>
        <v>7.8000000000000007</v>
      </c>
    </row>
    <row r="520" spans="1:12" x14ac:dyDescent="0.35">
      <c r="A520" s="3">
        <v>536409</v>
      </c>
      <c r="B520" s="3">
        <v>21065</v>
      </c>
      <c r="C520" s="3" t="s">
        <v>420</v>
      </c>
      <c r="D520" s="9">
        <v>1</v>
      </c>
      <c r="E520" s="4">
        <v>40712</v>
      </c>
      <c r="F520" s="5">
        <v>0.48958333333333331</v>
      </c>
      <c r="G520" s="6">
        <v>5.95</v>
      </c>
      <c r="H520" s="3">
        <v>17908</v>
      </c>
      <c r="I520" s="3" t="s">
        <v>5</v>
      </c>
      <c r="J520" s="3" t="str">
        <f t="shared" si="24"/>
        <v>Sale</v>
      </c>
      <c r="K520" s="6">
        <f t="shared" si="25"/>
        <v>5.95</v>
      </c>
      <c r="L520" s="6">
        <f t="shared" si="26"/>
        <v>5.95</v>
      </c>
    </row>
    <row r="521" spans="1:12" x14ac:dyDescent="0.35">
      <c r="A521" s="3">
        <v>536409</v>
      </c>
      <c r="B521" s="3">
        <v>22074</v>
      </c>
      <c r="C521" s="3" t="s">
        <v>421</v>
      </c>
      <c r="D521" s="9">
        <v>1</v>
      </c>
      <c r="E521" s="4">
        <v>40713</v>
      </c>
      <c r="F521" s="5">
        <v>0.48958333333333331</v>
      </c>
      <c r="G521" s="6">
        <v>1.65</v>
      </c>
      <c r="H521" s="3">
        <v>17908</v>
      </c>
      <c r="I521" s="3" t="s">
        <v>5</v>
      </c>
      <c r="J521" s="3" t="str">
        <f t="shared" si="24"/>
        <v>Sale</v>
      </c>
      <c r="K521" s="6">
        <f t="shared" si="25"/>
        <v>1.65</v>
      </c>
      <c r="L521" s="6">
        <f t="shared" si="26"/>
        <v>1.65</v>
      </c>
    </row>
    <row r="522" spans="1:12" x14ac:dyDescent="0.35">
      <c r="A522" s="3">
        <v>536409</v>
      </c>
      <c r="B522" s="3">
        <v>22900</v>
      </c>
      <c r="C522" s="3" t="s">
        <v>108</v>
      </c>
      <c r="D522" s="9">
        <v>1</v>
      </c>
      <c r="E522" s="4">
        <v>40714</v>
      </c>
      <c r="F522" s="5">
        <v>0.48958333333333331</v>
      </c>
      <c r="G522" s="6">
        <v>2.95</v>
      </c>
      <c r="H522" s="3">
        <v>17908</v>
      </c>
      <c r="I522" s="3" t="s">
        <v>5</v>
      </c>
      <c r="J522" s="3" t="str">
        <f t="shared" si="24"/>
        <v>Sale</v>
      </c>
      <c r="K522" s="6">
        <f t="shared" si="25"/>
        <v>2.95</v>
      </c>
      <c r="L522" s="6">
        <f t="shared" si="26"/>
        <v>2.95</v>
      </c>
    </row>
    <row r="523" spans="1:12" x14ac:dyDescent="0.35">
      <c r="A523" s="3">
        <v>536409</v>
      </c>
      <c r="B523" s="3">
        <v>20713</v>
      </c>
      <c r="C523" s="3" t="s">
        <v>422</v>
      </c>
      <c r="D523" s="9">
        <v>1</v>
      </c>
      <c r="E523" s="4">
        <v>40715</v>
      </c>
      <c r="F523" s="5">
        <v>0.48958333333333331</v>
      </c>
      <c r="G523" s="6">
        <v>1.95</v>
      </c>
      <c r="H523" s="3">
        <v>17908</v>
      </c>
      <c r="I523" s="3" t="s">
        <v>5</v>
      </c>
      <c r="J523" s="3" t="str">
        <f t="shared" si="24"/>
        <v>Sale</v>
      </c>
      <c r="K523" s="6">
        <f t="shared" si="25"/>
        <v>1.95</v>
      </c>
      <c r="L523" s="6">
        <f t="shared" si="26"/>
        <v>1.95</v>
      </c>
    </row>
    <row r="524" spans="1:12" x14ac:dyDescent="0.35">
      <c r="A524" s="3">
        <v>536409</v>
      </c>
      <c r="B524" s="3">
        <v>20966</v>
      </c>
      <c r="C524" s="3" t="s">
        <v>320</v>
      </c>
      <c r="D524" s="9">
        <v>2</v>
      </c>
      <c r="E524" s="4">
        <v>40716</v>
      </c>
      <c r="F524" s="5">
        <v>0.48958333333333331</v>
      </c>
      <c r="G524" s="6">
        <v>1.25</v>
      </c>
      <c r="H524" s="3">
        <v>17908</v>
      </c>
      <c r="I524" s="3" t="s">
        <v>5</v>
      </c>
      <c r="J524" s="3" t="str">
        <f t="shared" si="24"/>
        <v>Sale</v>
      </c>
      <c r="K524" s="6">
        <f t="shared" si="25"/>
        <v>2.5</v>
      </c>
      <c r="L524" s="6">
        <f t="shared" si="26"/>
        <v>2.5</v>
      </c>
    </row>
    <row r="525" spans="1:12" x14ac:dyDescent="0.35">
      <c r="A525" s="3">
        <v>536409</v>
      </c>
      <c r="B525" s="3">
        <v>21116</v>
      </c>
      <c r="C525" s="3" t="s">
        <v>423</v>
      </c>
      <c r="D525" s="9">
        <v>1</v>
      </c>
      <c r="E525" s="4">
        <v>40717</v>
      </c>
      <c r="F525" s="5">
        <v>0.48958333333333331</v>
      </c>
      <c r="G525" s="6">
        <v>4.95</v>
      </c>
      <c r="H525" s="3">
        <v>17908</v>
      </c>
      <c r="I525" s="3" t="s">
        <v>5</v>
      </c>
      <c r="J525" s="3" t="str">
        <f t="shared" si="24"/>
        <v>Sale</v>
      </c>
      <c r="K525" s="6">
        <f t="shared" si="25"/>
        <v>4.95</v>
      </c>
      <c r="L525" s="6">
        <f t="shared" si="26"/>
        <v>4.95</v>
      </c>
    </row>
    <row r="526" spans="1:12" x14ac:dyDescent="0.35">
      <c r="A526" s="3">
        <v>536409</v>
      </c>
      <c r="B526" s="3" t="s">
        <v>51</v>
      </c>
      <c r="C526" s="3" t="s">
        <v>394</v>
      </c>
      <c r="D526" s="9">
        <v>2</v>
      </c>
      <c r="E526" s="4">
        <v>40718</v>
      </c>
      <c r="F526" s="5">
        <v>0.48958333333333331</v>
      </c>
      <c r="G526" s="6">
        <v>6.35</v>
      </c>
      <c r="H526" s="3">
        <v>17908</v>
      </c>
      <c r="I526" s="3" t="s">
        <v>5</v>
      </c>
      <c r="J526" s="3" t="str">
        <f t="shared" si="24"/>
        <v>Sale</v>
      </c>
      <c r="K526" s="6">
        <f t="shared" si="25"/>
        <v>12.7</v>
      </c>
      <c r="L526" s="6">
        <f t="shared" si="26"/>
        <v>12.7</v>
      </c>
    </row>
    <row r="527" spans="1:12" x14ac:dyDescent="0.35">
      <c r="A527" s="3">
        <v>536409</v>
      </c>
      <c r="B527" s="3">
        <v>22633</v>
      </c>
      <c r="C527" s="3" t="s">
        <v>75</v>
      </c>
      <c r="D527" s="9">
        <v>1</v>
      </c>
      <c r="E527" s="4">
        <v>40719</v>
      </c>
      <c r="F527" s="5">
        <v>0.48958333333333331</v>
      </c>
      <c r="G527" s="6">
        <v>2.1</v>
      </c>
      <c r="H527" s="3">
        <v>17908</v>
      </c>
      <c r="I527" s="3" t="s">
        <v>5</v>
      </c>
      <c r="J527" s="3" t="str">
        <f t="shared" si="24"/>
        <v>Sale</v>
      </c>
      <c r="K527" s="6">
        <f t="shared" si="25"/>
        <v>2.1</v>
      </c>
      <c r="L527" s="6">
        <f t="shared" si="26"/>
        <v>2.1</v>
      </c>
    </row>
    <row r="528" spans="1:12" x14ac:dyDescent="0.35">
      <c r="A528" s="3">
        <v>536409</v>
      </c>
      <c r="B528" s="3">
        <v>22198</v>
      </c>
      <c r="C528" s="3" t="s">
        <v>238</v>
      </c>
      <c r="D528" s="9">
        <v>1</v>
      </c>
      <c r="E528" s="4">
        <v>40720</v>
      </c>
      <c r="F528" s="5">
        <v>0.48958333333333331</v>
      </c>
      <c r="G528" s="6">
        <v>1.65</v>
      </c>
      <c r="H528" s="3">
        <v>17908</v>
      </c>
      <c r="I528" s="3" t="s">
        <v>5</v>
      </c>
      <c r="J528" s="3" t="str">
        <f t="shared" si="24"/>
        <v>Sale</v>
      </c>
      <c r="K528" s="6">
        <f t="shared" si="25"/>
        <v>1.65</v>
      </c>
      <c r="L528" s="6">
        <f t="shared" si="26"/>
        <v>1.65</v>
      </c>
    </row>
    <row r="529" spans="1:12" x14ac:dyDescent="0.35">
      <c r="A529" s="3">
        <v>536409</v>
      </c>
      <c r="B529" s="3">
        <v>21824</v>
      </c>
      <c r="C529" s="3" t="s">
        <v>424</v>
      </c>
      <c r="D529" s="9">
        <v>3</v>
      </c>
      <c r="E529" s="4">
        <v>40721</v>
      </c>
      <c r="F529" s="5">
        <v>0.48958333333333331</v>
      </c>
      <c r="G529" s="6">
        <v>1.45</v>
      </c>
      <c r="H529" s="3">
        <v>17908</v>
      </c>
      <c r="I529" s="3" t="s">
        <v>5</v>
      </c>
      <c r="J529" s="3" t="str">
        <f t="shared" si="24"/>
        <v>Sale</v>
      </c>
      <c r="K529" s="6">
        <f t="shared" si="25"/>
        <v>4.3499999999999996</v>
      </c>
      <c r="L529" s="6">
        <f t="shared" si="26"/>
        <v>4.3499999999999996</v>
      </c>
    </row>
    <row r="530" spans="1:12" x14ac:dyDescent="0.35">
      <c r="A530" s="3">
        <v>536409</v>
      </c>
      <c r="B530" s="3">
        <v>21823</v>
      </c>
      <c r="C530" s="3" t="s">
        <v>425</v>
      </c>
      <c r="D530" s="9">
        <v>3</v>
      </c>
      <c r="E530" s="4">
        <v>40722</v>
      </c>
      <c r="F530" s="5">
        <v>0.48958333333333331</v>
      </c>
      <c r="G530" s="6">
        <v>1.45</v>
      </c>
      <c r="H530" s="3">
        <v>17908</v>
      </c>
      <c r="I530" s="3" t="s">
        <v>5</v>
      </c>
      <c r="J530" s="3" t="str">
        <f t="shared" si="24"/>
        <v>Sale</v>
      </c>
      <c r="K530" s="6">
        <f t="shared" si="25"/>
        <v>4.3499999999999996</v>
      </c>
      <c r="L530" s="6">
        <f t="shared" si="26"/>
        <v>4.3499999999999996</v>
      </c>
    </row>
    <row r="531" spans="1:12" x14ac:dyDescent="0.35">
      <c r="A531" s="3">
        <v>536409</v>
      </c>
      <c r="B531" s="3">
        <v>22153</v>
      </c>
      <c r="C531" s="3" t="s">
        <v>426</v>
      </c>
      <c r="D531" s="9">
        <v>6</v>
      </c>
      <c r="E531" s="4">
        <v>40723</v>
      </c>
      <c r="F531" s="5">
        <v>0.48958333333333331</v>
      </c>
      <c r="G531" s="6">
        <v>0.42</v>
      </c>
      <c r="H531" s="3">
        <v>17908</v>
      </c>
      <c r="I531" s="3" t="s">
        <v>5</v>
      </c>
      <c r="J531" s="3" t="str">
        <f t="shared" si="24"/>
        <v>Sale</v>
      </c>
      <c r="K531" s="6">
        <f t="shared" si="25"/>
        <v>2.52</v>
      </c>
      <c r="L531" s="6">
        <f t="shared" si="26"/>
        <v>2.52</v>
      </c>
    </row>
    <row r="532" spans="1:12" x14ac:dyDescent="0.35">
      <c r="A532" s="3">
        <v>536409</v>
      </c>
      <c r="B532" s="3">
        <v>22197</v>
      </c>
      <c r="C532" s="3" t="s">
        <v>237</v>
      </c>
      <c r="D532" s="9">
        <v>2</v>
      </c>
      <c r="E532" s="4">
        <v>40724</v>
      </c>
      <c r="F532" s="5">
        <v>0.48958333333333331</v>
      </c>
      <c r="G532" s="6">
        <v>0.85</v>
      </c>
      <c r="H532" s="3">
        <v>17908</v>
      </c>
      <c r="I532" s="3" t="s">
        <v>5</v>
      </c>
      <c r="J532" s="3" t="str">
        <f t="shared" si="24"/>
        <v>Sale</v>
      </c>
      <c r="K532" s="6">
        <f t="shared" si="25"/>
        <v>1.7</v>
      </c>
      <c r="L532" s="6">
        <f t="shared" si="26"/>
        <v>1.7</v>
      </c>
    </row>
    <row r="533" spans="1:12" x14ac:dyDescent="0.35">
      <c r="A533" s="3">
        <v>536409</v>
      </c>
      <c r="B533" s="3" t="s">
        <v>29</v>
      </c>
      <c r="C533" s="3" t="s">
        <v>207</v>
      </c>
      <c r="D533" s="9">
        <v>2</v>
      </c>
      <c r="E533" s="4">
        <v>40725</v>
      </c>
      <c r="F533" s="5">
        <v>0.48958333333333331</v>
      </c>
      <c r="G533" s="6">
        <v>1.95</v>
      </c>
      <c r="H533" s="3">
        <v>17908</v>
      </c>
      <c r="I533" s="3" t="s">
        <v>5</v>
      </c>
      <c r="J533" s="3" t="str">
        <f t="shared" si="24"/>
        <v>Sale</v>
      </c>
      <c r="K533" s="6">
        <f t="shared" si="25"/>
        <v>3.9</v>
      </c>
      <c r="L533" s="6">
        <f t="shared" si="26"/>
        <v>3.9</v>
      </c>
    </row>
    <row r="534" spans="1:12" x14ac:dyDescent="0.35">
      <c r="A534" s="3">
        <v>536409</v>
      </c>
      <c r="B534" s="3" t="s">
        <v>56</v>
      </c>
      <c r="C534" s="3" t="s">
        <v>427</v>
      </c>
      <c r="D534" s="9">
        <v>1</v>
      </c>
      <c r="E534" s="4">
        <v>40726</v>
      </c>
      <c r="F534" s="5">
        <v>0.48958333333333331</v>
      </c>
      <c r="G534" s="6">
        <v>1.95</v>
      </c>
      <c r="H534" s="3">
        <v>17908</v>
      </c>
      <c r="I534" s="3" t="s">
        <v>5</v>
      </c>
      <c r="J534" s="3" t="str">
        <f t="shared" si="24"/>
        <v>Sale</v>
      </c>
      <c r="K534" s="6">
        <f t="shared" si="25"/>
        <v>1.95</v>
      </c>
      <c r="L534" s="6">
        <f t="shared" si="26"/>
        <v>1.95</v>
      </c>
    </row>
    <row r="535" spans="1:12" x14ac:dyDescent="0.35">
      <c r="A535" s="3">
        <v>536409</v>
      </c>
      <c r="B535" s="3">
        <v>20717</v>
      </c>
      <c r="C535" s="3" t="s">
        <v>428</v>
      </c>
      <c r="D535" s="9">
        <v>1</v>
      </c>
      <c r="E535" s="4">
        <v>40727</v>
      </c>
      <c r="F535" s="5">
        <v>0.48958333333333331</v>
      </c>
      <c r="G535" s="6">
        <v>1.25</v>
      </c>
      <c r="H535" s="3">
        <v>17908</v>
      </c>
      <c r="I535" s="3" t="s">
        <v>5</v>
      </c>
      <c r="J535" s="3" t="str">
        <f t="shared" si="24"/>
        <v>Sale</v>
      </c>
      <c r="K535" s="6">
        <f t="shared" si="25"/>
        <v>1.25</v>
      </c>
      <c r="L535" s="6">
        <f t="shared" si="26"/>
        <v>1.25</v>
      </c>
    </row>
    <row r="536" spans="1:12" x14ac:dyDescent="0.35">
      <c r="A536" s="3">
        <v>536409</v>
      </c>
      <c r="B536" s="3">
        <v>20723</v>
      </c>
      <c r="C536" s="3" t="s">
        <v>130</v>
      </c>
      <c r="D536" s="9">
        <v>1</v>
      </c>
      <c r="E536" s="4">
        <v>40728</v>
      </c>
      <c r="F536" s="5">
        <v>0.48958333333333331</v>
      </c>
      <c r="G536" s="6">
        <v>0.85</v>
      </c>
      <c r="H536" s="3">
        <v>17908</v>
      </c>
      <c r="I536" s="3" t="s">
        <v>5</v>
      </c>
      <c r="J536" s="3" t="str">
        <f t="shared" si="24"/>
        <v>Sale</v>
      </c>
      <c r="K536" s="6">
        <f t="shared" si="25"/>
        <v>0.85</v>
      </c>
      <c r="L536" s="6">
        <f t="shared" si="26"/>
        <v>0.85</v>
      </c>
    </row>
    <row r="537" spans="1:12" x14ac:dyDescent="0.35">
      <c r="A537" s="3">
        <v>536409</v>
      </c>
      <c r="B537" s="3">
        <v>21980</v>
      </c>
      <c r="C537" s="3" t="s">
        <v>249</v>
      </c>
      <c r="D537" s="9">
        <v>12</v>
      </c>
      <c r="E537" s="4">
        <v>40729</v>
      </c>
      <c r="F537" s="5">
        <v>0.48958333333333331</v>
      </c>
      <c r="G537" s="6">
        <v>0.28999999999999998</v>
      </c>
      <c r="H537" s="3">
        <v>17908</v>
      </c>
      <c r="I537" s="3" t="s">
        <v>5</v>
      </c>
      <c r="J537" s="3" t="str">
        <f t="shared" si="24"/>
        <v>Sale</v>
      </c>
      <c r="K537" s="6">
        <f t="shared" si="25"/>
        <v>3.4799999999999995</v>
      </c>
      <c r="L537" s="6">
        <f t="shared" si="26"/>
        <v>3.4799999999999995</v>
      </c>
    </row>
    <row r="538" spans="1:12" x14ac:dyDescent="0.35">
      <c r="A538" s="3">
        <v>536409</v>
      </c>
      <c r="B538" s="3">
        <v>22112</v>
      </c>
      <c r="C538" s="3" t="s">
        <v>285</v>
      </c>
      <c r="D538" s="9">
        <v>1</v>
      </c>
      <c r="E538" s="4">
        <v>40730</v>
      </c>
      <c r="F538" s="5">
        <v>0.48958333333333331</v>
      </c>
      <c r="G538" s="6">
        <v>4.95</v>
      </c>
      <c r="H538" s="3">
        <v>17908</v>
      </c>
      <c r="I538" s="3" t="s">
        <v>5</v>
      </c>
      <c r="J538" s="3" t="str">
        <f t="shared" si="24"/>
        <v>Sale</v>
      </c>
      <c r="K538" s="6">
        <f t="shared" si="25"/>
        <v>4.95</v>
      </c>
      <c r="L538" s="6">
        <f t="shared" si="26"/>
        <v>4.95</v>
      </c>
    </row>
    <row r="539" spans="1:12" x14ac:dyDescent="0.35">
      <c r="A539" s="3">
        <v>536412</v>
      </c>
      <c r="B539" s="3">
        <v>20728</v>
      </c>
      <c r="C539" s="3" t="s">
        <v>361</v>
      </c>
      <c r="D539" s="9">
        <v>3</v>
      </c>
      <c r="E539" s="4">
        <v>40731</v>
      </c>
      <c r="F539" s="5">
        <v>0.49236111111111114</v>
      </c>
      <c r="G539" s="6">
        <v>1.65</v>
      </c>
      <c r="H539" s="3">
        <v>17920</v>
      </c>
      <c r="I539" s="3" t="s">
        <v>5</v>
      </c>
      <c r="J539" s="3" t="str">
        <f t="shared" si="24"/>
        <v>Sale</v>
      </c>
      <c r="K539" s="6">
        <f t="shared" si="25"/>
        <v>4.9499999999999993</v>
      </c>
      <c r="L539" s="6">
        <f t="shared" si="26"/>
        <v>4.9499999999999993</v>
      </c>
    </row>
    <row r="540" spans="1:12" x14ac:dyDescent="0.35">
      <c r="A540" s="3">
        <v>536412</v>
      </c>
      <c r="B540" s="3">
        <v>22382</v>
      </c>
      <c r="C540" s="3" t="s">
        <v>332</v>
      </c>
      <c r="D540" s="9">
        <v>3</v>
      </c>
      <c r="E540" s="4">
        <v>40732</v>
      </c>
      <c r="F540" s="5">
        <v>0.49236111111111114</v>
      </c>
      <c r="G540" s="6">
        <v>1.65</v>
      </c>
      <c r="H540" s="3">
        <v>17920</v>
      </c>
      <c r="I540" s="3" t="s">
        <v>5</v>
      </c>
      <c r="J540" s="3" t="str">
        <f t="shared" si="24"/>
        <v>Sale</v>
      </c>
      <c r="K540" s="6">
        <f t="shared" si="25"/>
        <v>4.9499999999999993</v>
      </c>
      <c r="L540" s="6">
        <f t="shared" si="26"/>
        <v>4.9499999999999993</v>
      </c>
    </row>
    <row r="541" spans="1:12" x14ac:dyDescent="0.35">
      <c r="A541" s="3">
        <v>536412</v>
      </c>
      <c r="B541" s="3">
        <v>22326</v>
      </c>
      <c r="C541" s="3" t="s">
        <v>102</v>
      </c>
      <c r="D541" s="9">
        <v>1</v>
      </c>
      <c r="E541" s="4">
        <v>40733</v>
      </c>
      <c r="F541" s="5">
        <v>0.49236111111111114</v>
      </c>
      <c r="G541" s="6">
        <v>2.95</v>
      </c>
      <c r="H541" s="3">
        <v>17920</v>
      </c>
      <c r="I541" s="3" t="s">
        <v>5</v>
      </c>
      <c r="J541" s="3" t="str">
        <f t="shared" si="24"/>
        <v>Sale</v>
      </c>
      <c r="K541" s="6">
        <f t="shared" si="25"/>
        <v>2.95</v>
      </c>
      <c r="L541" s="6">
        <f t="shared" si="26"/>
        <v>2.95</v>
      </c>
    </row>
    <row r="542" spans="1:12" x14ac:dyDescent="0.35">
      <c r="A542" s="3">
        <v>536412</v>
      </c>
      <c r="B542" s="3">
        <v>22662</v>
      </c>
      <c r="C542" s="3" t="s">
        <v>205</v>
      </c>
      <c r="D542" s="9">
        <v>4</v>
      </c>
      <c r="E542" s="4">
        <v>40734</v>
      </c>
      <c r="F542" s="5">
        <v>0.49236111111111114</v>
      </c>
      <c r="G542" s="6">
        <v>1.65</v>
      </c>
      <c r="H542" s="3">
        <v>17920</v>
      </c>
      <c r="I542" s="3" t="s">
        <v>5</v>
      </c>
      <c r="J542" s="3" t="str">
        <f t="shared" si="24"/>
        <v>Sale</v>
      </c>
      <c r="K542" s="6">
        <f t="shared" si="25"/>
        <v>6.6</v>
      </c>
      <c r="L542" s="6">
        <f t="shared" si="26"/>
        <v>6.6</v>
      </c>
    </row>
    <row r="543" spans="1:12" x14ac:dyDescent="0.35">
      <c r="A543" s="3">
        <v>536412</v>
      </c>
      <c r="B543" s="3">
        <v>22383</v>
      </c>
      <c r="C543" s="3" t="s">
        <v>360</v>
      </c>
      <c r="D543" s="9">
        <v>3</v>
      </c>
      <c r="E543" s="4">
        <v>40735</v>
      </c>
      <c r="F543" s="5">
        <v>0.49236111111111114</v>
      </c>
      <c r="G543" s="6">
        <v>1.65</v>
      </c>
      <c r="H543" s="3">
        <v>17920</v>
      </c>
      <c r="I543" s="3" t="s">
        <v>5</v>
      </c>
      <c r="J543" s="3" t="str">
        <f t="shared" si="24"/>
        <v>Sale</v>
      </c>
      <c r="K543" s="6">
        <f t="shared" si="25"/>
        <v>4.9499999999999993</v>
      </c>
      <c r="L543" s="6">
        <f t="shared" si="26"/>
        <v>4.9499999999999993</v>
      </c>
    </row>
    <row r="544" spans="1:12" x14ac:dyDescent="0.35">
      <c r="A544" s="3">
        <v>536412</v>
      </c>
      <c r="B544" s="3">
        <v>20727</v>
      </c>
      <c r="C544" s="3" t="s">
        <v>362</v>
      </c>
      <c r="D544" s="9">
        <v>3</v>
      </c>
      <c r="E544" s="4">
        <v>40736</v>
      </c>
      <c r="F544" s="5">
        <v>0.49236111111111114</v>
      </c>
      <c r="G544" s="6">
        <v>1.65</v>
      </c>
      <c r="H544" s="3">
        <v>17920</v>
      </c>
      <c r="I544" s="3" t="s">
        <v>5</v>
      </c>
      <c r="J544" s="3" t="str">
        <f t="shared" si="24"/>
        <v>Sale</v>
      </c>
      <c r="K544" s="6">
        <f t="shared" si="25"/>
        <v>4.9499999999999993</v>
      </c>
      <c r="L544" s="6">
        <f t="shared" si="26"/>
        <v>4.9499999999999993</v>
      </c>
    </row>
    <row r="545" spans="1:12" x14ac:dyDescent="0.35">
      <c r="A545" s="3">
        <v>536412</v>
      </c>
      <c r="B545" s="3">
        <v>22328</v>
      </c>
      <c r="C545" s="3" t="s">
        <v>429</v>
      </c>
      <c r="D545" s="9">
        <v>1</v>
      </c>
      <c r="E545" s="4">
        <v>40737</v>
      </c>
      <c r="F545" s="5">
        <v>0.49236111111111114</v>
      </c>
      <c r="G545" s="6">
        <v>2.95</v>
      </c>
      <c r="H545" s="3">
        <v>17920</v>
      </c>
      <c r="I545" s="3" t="s">
        <v>5</v>
      </c>
      <c r="J545" s="3" t="str">
        <f t="shared" si="24"/>
        <v>Sale</v>
      </c>
      <c r="K545" s="6">
        <f t="shared" si="25"/>
        <v>2.95</v>
      </c>
      <c r="L545" s="6">
        <f t="shared" si="26"/>
        <v>2.95</v>
      </c>
    </row>
    <row r="546" spans="1:12" x14ac:dyDescent="0.35">
      <c r="A546" s="3">
        <v>536412</v>
      </c>
      <c r="B546" s="3">
        <v>22327</v>
      </c>
      <c r="C546" s="3" t="s">
        <v>430</v>
      </c>
      <c r="D546" s="9">
        <v>1</v>
      </c>
      <c r="E546" s="4">
        <v>40738</v>
      </c>
      <c r="F546" s="5">
        <v>0.49236111111111114</v>
      </c>
      <c r="G546" s="6">
        <v>2.95</v>
      </c>
      <c r="H546" s="3">
        <v>17920</v>
      </c>
      <c r="I546" s="3" t="s">
        <v>5</v>
      </c>
      <c r="J546" s="3" t="str">
        <f t="shared" si="24"/>
        <v>Sale</v>
      </c>
      <c r="K546" s="6">
        <f t="shared" si="25"/>
        <v>2.95</v>
      </c>
      <c r="L546" s="6">
        <f t="shared" si="26"/>
        <v>2.95</v>
      </c>
    </row>
    <row r="547" spans="1:12" x14ac:dyDescent="0.35">
      <c r="A547" s="3">
        <v>536412</v>
      </c>
      <c r="B547" s="3">
        <v>22630</v>
      </c>
      <c r="C547" s="3" t="s">
        <v>431</v>
      </c>
      <c r="D547" s="9">
        <v>1</v>
      </c>
      <c r="E547" s="4">
        <v>40739</v>
      </c>
      <c r="F547" s="5">
        <v>0.49236111111111114</v>
      </c>
      <c r="G547" s="6">
        <v>1.95</v>
      </c>
      <c r="H547" s="3">
        <v>17920</v>
      </c>
      <c r="I547" s="3" t="s">
        <v>5</v>
      </c>
      <c r="J547" s="3" t="str">
        <f t="shared" si="24"/>
        <v>Sale</v>
      </c>
      <c r="K547" s="6">
        <f t="shared" si="25"/>
        <v>1.95</v>
      </c>
      <c r="L547" s="6">
        <f t="shared" si="26"/>
        <v>1.95</v>
      </c>
    </row>
    <row r="548" spans="1:12" x14ac:dyDescent="0.35">
      <c r="A548" s="3">
        <v>536412</v>
      </c>
      <c r="B548" s="3">
        <v>22629</v>
      </c>
      <c r="C548" s="3" t="s">
        <v>103</v>
      </c>
      <c r="D548" s="9">
        <v>1</v>
      </c>
      <c r="E548" s="4">
        <v>40740</v>
      </c>
      <c r="F548" s="5">
        <v>0.49236111111111114</v>
      </c>
      <c r="G548" s="6">
        <v>1.95</v>
      </c>
      <c r="H548" s="3">
        <v>17920</v>
      </c>
      <c r="I548" s="3" t="s">
        <v>5</v>
      </c>
      <c r="J548" s="3" t="str">
        <f t="shared" si="24"/>
        <v>Sale</v>
      </c>
      <c r="K548" s="6">
        <f t="shared" si="25"/>
        <v>1.95</v>
      </c>
      <c r="L548" s="6">
        <f t="shared" si="26"/>
        <v>1.95</v>
      </c>
    </row>
    <row r="549" spans="1:12" x14ac:dyDescent="0.35">
      <c r="A549" s="3">
        <v>536412</v>
      </c>
      <c r="B549" s="3">
        <v>21245</v>
      </c>
      <c r="C549" s="3" t="s">
        <v>432</v>
      </c>
      <c r="D549" s="9">
        <v>1</v>
      </c>
      <c r="E549" s="4">
        <v>40741</v>
      </c>
      <c r="F549" s="5">
        <v>0.49236111111111114</v>
      </c>
      <c r="G549" s="6">
        <v>1.69</v>
      </c>
      <c r="H549" s="3">
        <v>17920</v>
      </c>
      <c r="I549" s="3" t="s">
        <v>5</v>
      </c>
      <c r="J549" s="3" t="str">
        <f t="shared" si="24"/>
        <v>Sale</v>
      </c>
      <c r="K549" s="6">
        <f t="shared" si="25"/>
        <v>1.69</v>
      </c>
      <c r="L549" s="6">
        <f t="shared" si="26"/>
        <v>1.69</v>
      </c>
    </row>
    <row r="550" spans="1:12" x14ac:dyDescent="0.35">
      <c r="A550" s="3">
        <v>536412</v>
      </c>
      <c r="B550" s="3">
        <v>21244</v>
      </c>
      <c r="C550" s="3" t="s">
        <v>433</v>
      </c>
      <c r="D550" s="9">
        <v>1</v>
      </c>
      <c r="E550" s="4">
        <v>40742</v>
      </c>
      <c r="F550" s="5">
        <v>0.49236111111111114</v>
      </c>
      <c r="G550" s="6">
        <v>1.69</v>
      </c>
      <c r="H550" s="3">
        <v>17920</v>
      </c>
      <c r="I550" s="3" t="s">
        <v>5</v>
      </c>
      <c r="J550" s="3" t="str">
        <f t="shared" si="24"/>
        <v>Sale</v>
      </c>
      <c r="K550" s="6">
        <f t="shared" si="25"/>
        <v>1.69</v>
      </c>
      <c r="L550" s="6">
        <f t="shared" si="26"/>
        <v>1.69</v>
      </c>
    </row>
    <row r="551" spans="1:12" x14ac:dyDescent="0.35">
      <c r="A551" s="3">
        <v>536412</v>
      </c>
      <c r="B551" s="3">
        <v>21242</v>
      </c>
      <c r="C551" s="3" t="s">
        <v>434</v>
      </c>
      <c r="D551" s="9">
        <v>1</v>
      </c>
      <c r="E551" s="4">
        <v>40743</v>
      </c>
      <c r="F551" s="5">
        <v>0.49236111111111114</v>
      </c>
      <c r="G551" s="6">
        <v>1.69</v>
      </c>
      <c r="H551" s="3">
        <v>17920</v>
      </c>
      <c r="I551" s="3" t="s">
        <v>5</v>
      </c>
      <c r="J551" s="3" t="str">
        <f t="shared" si="24"/>
        <v>Sale</v>
      </c>
      <c r="K551" s="6">
        <f t="shared" si="25"/>
        <v>1.69</v>
      </c>
      <c r="L551" s="6">
        <f t="shared" si="26"/>
        <v>1.69</v>
      </c>
    </row>
    <row r="552" spans="1:12" x14ac:dyDescent="0.35">
      <c r="A552" s="3">
        <v>536412</v>
      </c>
      <c r="B552" s="3">
        <v>21243</v>
      </c>
      <c r="C552" s="3" t="s">
        <v>435</v>
      </c>
      <c r="D552" s="9">
        <v>1</v>
      </c>
      <c r="E552" s="4">
        <v>40744</v>
      </c>
      <c r="F552" s="5">
        <v>0.49236111111111114</v>
      </c>
      <c r="G552" s="6">
        <v>1.69</v>
      </c>
      <c r="H552" s="3">
        <v>17920</v>
      </c>
      <c r="I552" s="3" t="s">
        <v>5</v>
      </c>
      <c r="J552" s="3" t="str">
        <f t="shared" si="24"/>
        <v>Sale</v>
      </c>
      <c r="K552" s="6">
        <f t="shared" si="25"/>
        <v>1.69</v>
      </c>
      <c r="L552" s="6">
        <f t="shared" si="26"/>
        <v>1.69</v>
      </c>
    </row>
    <row r="553" spans="1:12" x14ac:dyDescent="0.35">
      <c r="A553" s="3">
        <v>536412</v>
      </c>
      <c r="B553" s="3">
        <v>22273</v>
      </c>
      <c r="C553" s="3" t="s">
        <v>436</v>
      </c>
      <c r="D553" s="9">
        <v>1</v>
      </c>
      <c r="E553" s="4">
        <v>40745</v>
      </c>
      <c r="F553" s="5">
        <v>0.49236111111111114</v>
      </c>
      <c r="G553" s="6">
        <v>2.95</v>
      </c>
      <c r="H553" s="3">
        <v>17920</v>
      </c>
      <c r="I553" s="3" t="s">
        <v>5</v>
      </c>
      <c r="J553" s="3" t="str">
        <f t="shared" si="24"/>
        <v>Sale</v>
      </c>
      <c r="K553" s="6">
        <f t="shared" si="25"/>
        <v>2.95</v>
      </c>
      <c r="L553" s="6">
        <f t="shared" si="26"/>
        <v>2.95</v>
      </c>
    </row>
    <row r="554" spans="1:12" x14ac:dyDescent="0.35">
      <c r="A554" s="3">
        <v>536412</v>
      </c>
      <c r="B554" s="3">
        <v>22940</v>
      </c>
      <c r="C554" s="3" t="s">
        <v>437</v>
      </c>
      <c r="D554" s="9">
        <v>3</v>
      </c>
      <c r="E554" s="4">
        <v>40746</v>
      </c>
      <c r="F554" s="5">
        <v>0.49236111111111114</v>
      </c>
      <c r="G554" s="6">
        <v>4.25</v>
      </c>
      <c r="H554" s="3">
        <v>17920</v>
      </c>
      <c r="I554" s="3" t="s">
        <v>5</v>
      </c>
      <c r="J554" s="3" t="str">
        <f t="shared" si="24"/>
        <v>Sale</v>
      </c>
      <c r="K554" s="6">
        <f t="shared" si="25"/>
        <v>12.75</v>
      </c>
      <c r="L554" s="6">
        <f t="shared" si="26"/>
        <v>12.75</v>
      </c>
    </row>
    <row r="555" spans="1:12" x14ac:dyDescent="0.35">
      <c r="A555" s="3">
        <v>536412</v>
      </c>
      <c r="B555" s="3">
        <v>22652</v>
      </c>
      <c r="C555" s="3" t="s">
        <v>270</v>
      </c>
      <c r="D555" s="9">
        <v>5</v>
      </c>
      <c r="E555" s="4">
        <v>40747</v>
      </c>
      <c r="F555" s="5">
        <v>0.49236111111111114</v>
      </c>
      <c r="G555" s="6">
        <v>1.65</v>
      </c>
      <c r="H555" s="3">
        <v>17920</v>
      </c>
      <c r="I555" s="3" t="s">
        <v>5</v>
      </c>
      <c r="J555" s="3" t="str">
        <f t="shared" si="24"/>
        <v>Sale</v>
      </c>
      <c r="K555" s="6">
        <f t="shared" si="25"/>
        <v>8.25</v>
      </c>
      <c r="L555" s="6">
        <f t="shared" si="26"/>
        <v>8.25</v>
      </c>
    </row>
    <row r="556" spans="1:12" x14ac:dyDescent="0.35">
      <c r="A556" s="3">
        <v>536412</v>
      </c>
      <c r="B556" s="3">
        <v>22759</v>
      </c>
      <c r="C556" s="3" t="s">
        <v>438</v>
      </c>
      <c r="D556" s="9">
        <v>1</v>
      </c>
      <c r="E556" s="4">
        <v>40748</v>
      </c>
      <c r="F556" s="5">
        <v>0.49236111111111114</v>
      </c>
      <c r="G556" s="6">
        <v>1.65</v>
      </c>
      <c r="H556" s="3">
        <v>17920</v>
      </c>
      <c r="I556" s="3" t="s">
        <v>5</v>
      </c>
      <c r="J556" s="3" t="str">
        <f t="shared" si="24"/>
        <v>Sale</v>
      </c>
      <c r="K556" s="6">
        <f t="shared" si="25"/>
        <v>1.65</v>
      </c>
      <c r="L556" s="6">
        <f t="shared" si="26"/>
        <v>1.65</v>
      </c>
    </row>
    <row r="557" spans="1:12" x14ac:dyDescent="0.35">
      <c r="A557" s="3">
        <v>536412</v>
      </c>
      <c r="B557" s="3">
        <v>21880</v>
      </c>
      <c r="C557" s="3" t="s">
        <v>439</v>
      </c>
      <c r="D557" s="9">
        <v>10</v>
      </c>
      <c r="E557" s="4">
        <v>40749</v>
      </c>
      <c r="F557" s="5">
        <v>0.49236111111111114</v>
      </c>
      <c r="G557" s="6">
        <v>0.65</v>
      </c>
      <c r="H557" s="3">
        <v>17920</v>
      </c>
      <c r="I557" s="3" t="s">
        <v>5</v>
      </c>
      <c r="J557" s="3" t="str">
        <f t="shared" si="24"/>
        <v>Sale</v>
      </c>
      <c r="K557" s="6">
        <f t="shared" si="25"/>
        <v>6.5</v>
      </c>
      <c r="L557" s="6">
        <f t="shared" si="26"/>
        <v>6.5</v>
      </c>
    </row>
    <row r="558" spans="1:12" x14ac:dyDescent="0.35">
      <c r="A558" s="3">
        <v>536412</v>
      </c>
      <c r="B558" s="3">
        <v>21738</v>
      </c>
      <c r="C558" s="3" t="s">
        <v>440</v>
      </c>
      <c r="D558" s="9">
        <v>1</v>
      </c>
      <c r="E558" s="4">
        <v>40750</v>
      </c>
      <c r="F558" s="5">
        <v>0.49236111111111114</v>
      </c>
      <c r="G558" s="6">
        <v>2.95</v>
      </c>
      <c r="H558" s="3">
        <v>17920</v>
      </c>
      <c r="I558" s="3" t="s">
        <v>5</v>
      </c>
      <c r="J558" s="3" t="str">
        <f t="shared" si="24"/>
        <v>Sale</v>
      </c>
      <c r="K558" s="6">
        <f t="shared" si="25"/>
        <v>2.95</v>
      </c>
      <c r="L558" s="6">
        <f t="shared" si="26"/>
        <v>2.95</v>
      </c>
    </row>
    <row r="559" spans="1:12" x14ac:dyDescent="0.35">
      <c r="A559" s="3">
        <v>536412</v>
      </c>
      <c r="B559" s="3">
        <v>22077</v>
      </c>
      <c r="C559" s="3" t="s">
        <v>441</v>
      </c>
      <c r="D559" s="9">
        <v>1</v>
      </c>
      <c r="E559" s="4">
        <v>40751</v>
      </c>
      <c r="F559" s="5">
        <v>0.49236111111111114</v>
      </c>
      <c r="G559" s="6">
        <v>1.65</v>
      </c>
      <c r="H559" s="3">
        <v>17920</v>
      </c>
      <c r="I559" s="3" t="s">
        <v>5</v>
      </c>
      <c r="J559" s="3" t="str">
        <f t="shared" si="24"/>
        <v>Sale</v>
      </c>
      <c r="K559" s="6">
        <f t="shared" si="25"/>
        <v>1.65</v>
      </c>
      <c r="L559" s="6">
        <f t="shared" si="26"/>
        <v>1.65</v>
      </c>
    </row>
    <row r="560" spans="1:12" x14ac:dyDescent="0.35">
      <c r="A560" s="3">
        <v>536412</v>
      </c>
      <c r="B560" s="3" t="s">
        <v>38</v>
      </c>
      <c r="C560" s="3" t="s">
        <v>295</v>
      </c>
      <c r="D560" s="9">
        <v>3</v>
      </c>
      <c r="E560" s="4">
        <v>40752</v>
      </c>
      <c r="F560" s="5">
        <v>0.49236111111111114</v>
      </c>
      <c r="G560" s="6">
        <v>1.25</v>
      </c>
      <c r="H560" s="3">
        <v>17920</v>
      </c>
      <c r="I560" s="3" t="s">
        <v>5</v>
      </c>
      <c r="J560" s="3" t="str">
        <f t="shared" si="24"/>
        <v>Sale</v>
      </c>
      <c r="K560" s="6">
        <f t="shared" si="25"/>
        <v>3.75</v>
      </c>
      <c r="L560" s="6">
        <f t="shared" si="26"/>
        <v>3.75</v>
      </c>
    </row>
    <row r="561" spans="1:12" x14ac:dyDescent="0.35">
      <c r="A561" s="3">
        <v>536412</v>
      </c>
      <c r="B561" s="3">
        <v>22961</v>
      </c>
      <c r="C561" s="3" t="s">
        <v>146</v>
      </c>
      <c r="D561" s="9">
        <v>24</v>
      </c>
      <c r="E561" s="4">
        <v>40753</v>
      </c>
      <c r="F561" s="5">
        <v>0.49236111111111114</v>
      </c>
      <c r="G561" s="6">
        <v>1.45</v>
      </c>
      <c r="H561" s="3">
        <v>17920</v>
      </c>
      <c r="I561" s="3" t="s">
        <v>5</v>
      </c>
      <c r="J561" s="3" t="str">
        <f t="shared" si="24"/>
        <v>Sale</v>
      </c>
      <c r="K561" s="6">
        <f t="shared" si="25"/>
        <v>34.799999999999997</v>
      </c>
      <c r="L561" s="6">
        <f t="shared" si="26"/>
        <v>34.799999999999997</v>
      </c>
    </row>
    <row r="562" spans="1:12" x14ac:dyDescent="0.35">
      <c r="A562" s="3">
        <v>536412</v>
      </c>
      <c r="B562" s="3">
        <v>21448</v>
      </c>
      <c r="C562" s="3" t="s">
        <v>442</v>
      </c>
      <c r="D562" s="9">
        <v>2</v>
      </c>
      <c r="E562" s="4">
        <v>40754</v>
      </c>
      <c r="F562" s="5">
        <v>0.49236111111111114</v>
      </c>
      <c r="G562" s="6">
        <v>1.65</v>
      </c>
      <c r="H562" s="3">
        <v>17920</v>
      </c>
      <c r="I562" s="3" t="s">
        <v>5</v>
      </c>
      <c r="J562" s="3" t="str">
        <f t="shared" si="24"/>
        <v>Sale</v>
      </c>
      <c r="K562" s="6">
        <f t="shared" si="25"/>
        <v>3.3</v>
      </c>
      <c r="L562" s="6">
        <f t="shared" si="26"/>
        <v>3.3</v>
      </c>
    </row>
    <row r="563" spans="1:12" x14ac:dyDescent="0.35">
      <c r="A563" s="3">
        <v>536412</v>
      </c>
      <c r="B563" s="3">
        <v>22837</v>
      </c>
      <c r="C563" s="3" t="s">
        <v>341</v>
      </c>
      <c r="D563" s="9">
        <v>3</v>
      </c>
      <c r="E563" s="4">
        <v>40755</v>
      </c>
      <c r="F563" s="5">
        <v>0.49236111111111114</v>
      </c>
      <c r="G563" s="6">
        <v>4.6500000000000004</v>
      </c>
      <c r="H563" s="3">
        <v>17920</v>
      </c>
      <c r="I563" s="3" t="s">
        <v>5</v>
      </c>
      <c r="J563" s="3" t="str">
        <f t="shared" si="24"/>
        <v>Sale</v>
      </c>
      <c r="K563" s="6">
        <f t="shared" si="25"/>
        <v>13.950000000000001</v>
      </c>
      <c r="L563" s="6">
        <f t="shared" si="26"/>
        <v>13.950000000000001</v>
      </c>
    </row>
    <row r="564" spans="1:12" x14ac:dyDescent="0.35">
      <c r="A564" s="3">
        <v>536412</v>
      </c>
      <c r="B564" s="3">
        <v>22749</v>
      </c>
      <c r="C564" s="3" t="s">
        <v>80</v>
      </c>
      <c r="D564" s="9">
        <v>2</v>
      </c>
      <c r="E564" s="4">
        <v>40756</v>
      </c>
      <c r="F564" s="5">
        <v>0.49236111111111114</v>
      </c>
      <c r="G564" s="6">
        <v>3.75</v>
      </c>
      <c r="H564" s="3">
        <v>17920</v>
      </c>
      <c r="I564" s="3" t="s">
        <v>5</v>
      </c>
      <c r="J564" s="3" t="str">
        <f t="shared" si="24"/>
        <v>Sale</v>
      </c>
      <c r="K564" s="6">
        <f t="shared" si="25"/>
        <v>7.5</v>
      </c>
      <c r="L564" s="6">
        <f t="shared" si="26"/>
        <v>7.5</v>
      </c>
    </row>
    <row r="565" spans="1:12" x14ac:dyDescent="0.35">
      <c r="A565" s="3">
        <v>536412</v>
      </c>
      <c r="B565" s="3">
        <v>22940</v>
      </c>
      <c r="C565" s="3" t="s">
        <v>437</v>
      </c>
      <c r="D565" s="9">
        <v>1</v>
      </c>
      <c r="E565" s="4">
        <v>40757</v>
      </c>
      <c r="F565" s="5">
        <v>0.49236111111111114</v>
      </c>
      <c r="G565" s="6">
        <v>4.25</v>
      </c>
      <c r="H565" s="3">
        <v>17920</v>
      </c>
      <c r="I565" s="3" t="s">
        <v>5</v>
      </c>
      <c r="J565" s="3" t="str">
        <f t="shared" si="24"/>
        <v>Sale</v>
      </c>
      <c r="K565" s="6">
        <f t="shared" si="25"/>
        <v>4.25</v>
      </c>
      <c r="L565" s="6">
        <f t="shared" si="26"/>
        <v>4.25</v>
      </c>
    </row>
    <row r="566" spans="1:12" x14ac:dyDescent="0.35">
      <c r="A566" s="3">
        <v>536412</v>
      </c>
      <c r="B566" s="3">
        <v>22749</v>
      </c>
      <c r="C566" s="3" t="s">
        <v>80</v>
      </c>
      <c r="D566" s="9">
        <v>1</v>
      </c>
      <c r="E566" s="4">
        <v>40758</v>
      </c>
      <c r="F566" s="5">
        <v>0.49236111111111114</v>
      </c>
      <c r="G566" s="6">
        <v>3.75</v>
      </c>
      <c r="H566" s="3">
        <v>17920</v>
      </c>
      <c r="I566" s="3" t="s">
        <v>5</v>
      </c>
      <c r="J566" s="3" t="str">
        <f t="shared" si="24"/>
        <v>Sale</v>
      </c>
      <c r="K566" s="6">
        <f t="shared" si="25"/>
        <v>3.75</v>
      </c>
      <c r="L566" s="6">
        <f t="shared" si="26"/>
        <v>3.75</v>
      </c>
    </row>
    <row r="567" spans="1:12" x14ac:dyDescent="0.35">
      <c r="A567" s="3">
        <v>536412</v>
      </c>
      <c r="B567" s="3">
        <v>22077</v>
      </c>
      <c r="C567" s="3" t="s">
        <v>441</v>
      </c>
      <c r="D567" s="9">
        <v>2</v>
      </c>
      <c r="E567" s="4">
        <v>40759</v>
      </c>
      <c r="F567" s="5">
        <v>0.49236111111111114</v>
      </c>
      <c r="G567" s="6">
        <v>1.65</v>
      </c>
      <c r="H567" s="3">
        <v>17920</v>
      </c>
      <c r="I567" s="3" t="s">
        <v>5</v>
      </c>
      <c r="J567" s="3" t="str">
        <f t="shared" si="24"/>
        <v>Sale</v>
      </c>
      <c r="K567" s="6">
        <f t="shared" si="25"/>
        <v>3.3</v>
      </c>
      <c r="L567" s="6">
        <f t="shared" si="26"/>
        <v>3.3</v>
      </c>
    </row>
    <row r="568" spans="1:12" x14ac:dyDescent="0.35">
      <c r="A568" s="3">
        <v>536412</v>
      </c>
      <c r="B568" s="3">
        <v>21738</v>
      </c>
      <c r="C568" s="3" t="s">
        <v>440</v>
      </c>
      <c r="D568" s="9">
        <v>2</v>
      </c>
      <c r="E568" s="4">
        <v>40760</v>
      </c>
      <c r="F568" s="5">
        <v>0.49236111111111114</v>
      </c>
      <c r="G568" s="6">
        <v>2.95</v>
      </c>
      <c r="H568" s="3">
        <v>17920</v>
      </c>
      <c r="I568" s="3" t="s">
        <v>5</v>
      </c>
      <c r="J568" s="3" t="str">
        <f t="shared" si="24"/>
        <v>Sale</v>
      </c>
      <c r="K568" s="6">
        <f t="shared" si="25"/>
        <v>5.9</v>
      </c>
      <c r="L568" s="6">
        <f t="shared" si="26"/>
        <v>5.9</v>
      </c>
    </row>
    <row r="569" spans="1:12" x14ac:dyDescent="0.35">
      <c r="A569" s="3">
        <v>536412</v>
      </c>
      <c r="B569" s="3" t="s">
        <v>38</v>
      </c>
      <c r="C569" s="3" t="s">
        <v>295</v>
      </c>
      <c r="D569" s="9">
        <v>1</v>
      </c>
      <c r="E569" s="4">
        <v>40761</v>
      </c>
      <c r="F569" s="5">
        <v>0.49236111111111114</v>
      </c>
      <c r="G569" s="6">
        <v>1.25</v>
      </c>
      <c r="H569" s="3">
        <v>17920</v>
      </c>
      <c r="I569" s="3" t="s">
        <v>5</v>
      </c>
      <c r="J569" s="3" t="str">
        <f t="shared" si="24"/>
        <v>Sale</v>
      </c>
      <c r="K569" s="6">
        <f t="shared" si="25"/>
        <v>1.25</v>
      </c>
      <c r="L569" s="6">
        <f t="shared" si="26"/>
        <v>1.25</v>
      </c>
    </row>
    <row r="570" spans="1:12" x14ac:dyDescent="0.35">
      <c r="A570" s="3">
        <v>536412</v>
      </c>
      <c r="B570" s="3">
        <v>22243</v>
      </c>
      <c r="C570" s="3" t="s">
        <v>443</v>
      </c>
      <c r="D570" s="9">
        <v>6</v>
      </c>
      <c r="E570" s="4">
        <v>40762</v>
      </c>
      <c r="F570" s="5">
        <v>0.49236111111111114</v>
      </c>
      <c r="G570" s="6">
        <v>1.65</v>
      </c>
      <c r="H570" s="3">
        <v>17920</v>
      </c>
      <c r="I570" s="3" t="s">
        <v>5</v>
      </c>
      <c r="J570" s="3" t="str">
        <f t="shared" si="24"/>
        <v>Sale</v>
      </c>
      <c r="K570" s="6">
        <f t="shared" si="25"/>
        <v>9.8999999999999986</v>
      </c>
      <c r="L570" s="6">
        <f t="shared" si="26"/>
        <v>9.8999999999999986</v>
      </c>
    </row>
    <row r="571" spans="1:12" x14ac:dyDescent="0.35">
      <c r="A571" s="3">
        <v>536412</v>
      </c>
      <c r="B571" s="3">
        <v>22141</v>
      </c>
      <c r="C571" s="3" t="s">
        <v>444</v>
      </c>
      <c r="D571" s="9">
        <v>1</v>
      </c>
      <c r="E571" s="4">
        <v>40763</v>
      </c>
      <c r="F571" s="5">
        <v>0.49236111111111114</v>
      </c>
      <c r="G571" s="6">
        <v>2.1</v>
      </c>
      <c r="H571" s="3">
        <v>17920</v>
      </c>
      <c r="I571" s="3" t="s">
        <v>5</v>
      </c>
      <c r="J571" s="3" t="str">
        <f t="shared" si="24"/>
        <v>Sale</v>
      </c>
      <c r="K571" s="6">
        <f t="shared" si="25"/>
        <v>2.1</v>
      </c>
      <c r="L571" s="6">
        <f t="shared" si="26"/>
        <v>2.1</v>
      </c>
    </row>
    <row r="572" spans="1:12" x14ac:dyDescent="0.35">
      <c r="A572" s="3">
        <v>536412</v>
      </c>
      <c r="B572" s="3">
        <v>22144</v>
      </c>
      <c r="C572" s="3" t="s">
        <v>445</v>
      </c>
      <c r="D572" s="9">
        <v>2</v>
      </c>
      <c r="E572" s="4">
        <v>40764</v>
      </c>
      <c r="F572" s="5">
        <v>0.49236111111111114</v>
      </c>
      <c r="G572" s="6">
        <v>2.1</v>
      </c>
      <c r="H572" s="3">
        <v>17920</v>
      </c>
      <c r="I572" s="3" t="s">
        <v>5</v>
      </c>
      <c r="J572" s="3" t="str">
        <f t="shared" si="24"/>
        <v>Sale</v>
      </c>
      <c r="K572" s="6">
        <f t="shared" si="25"/>
        <v>4.2</v>
      </c>
      <c r="L572" s="6">
        <f t="shared" si="26"/>
        <v>4.2</v>
      </c>
    </row>
    <row r="573" spans="1:12" x14ac:dyDescent="0.35">
      <c r="A573" s="3">
        <v>536412</v>
      </c>
      <c r="B573" s="3">
        <v>22243</v>
      </c>
      <c r="C573" s="3" t="s">
        <v>443</v>
      </c>
      <c r="D573" s="9">
        <v>3</v>
      </c>
      <c r="E573" s="4">
        <v>40765</v>
      </c>
      <c r="F573" s="5">
        <v>0.49236111111111114</v>
      </c>
      <c r="G573" s="6">
        <v>1.65</v>
      </c>
      <c r="H573" s="3">
        <v>17920</v>
      </c>
      <c r="I573" s="3" t="s">
        <v>5</v>
      </c>
      <c r="J573" s="3" t="str">
        <f t="shared" si="24"/>
        <v>Sale</v>
      </c>
      <c r="K573" s="6">
        <f t="shared" si="25"/>
        <v>4.9499999999999993</v>
      </c>
      <c r="L573" s="6">
        <f t="shared" si="26"/>
        <v>4.9499999999999993</v>
      </c>
    </row>
    <row r="574" spans="1:12" x14ac:dyDescent="0.35">
      <c r="A574" s="3">
        <v>536412</v>
      </c>
      <c r="B574" s="3">
        <v>22077</v>
      </c>
      <c r="C574" s="3" t="s">
        <v>441</v>
      </c>
      <c r="D574" s="9">
        <v>7</v>
      </c>
      <c r="E574" s="4">
        <v>40766</v>
      </c>
      <c r="F574" s="5">
        <v>0.49236111111111114</v>
      </c>
      <c r="G574" s="6">
        <v>1.65</v>
      </c>
      <c r="H574" s="3">
        <v>17920</v>
      </c>
      <c r="I574" s="3" t="s">
        <v>5</v>
      </c>
      <c r="J574" s="3" t="str">
        <f t="shared" si="24"/>
        <v>Sale</v>
      </c>
      <c r="K574" s="6">
        <f t="shared" si="25"/>
        <v>11.549999999999999</v>
      </c>
      <c r="L574" s="6">
        <f t="shared" si="26"/>
        <v>11.549999999999999</v>
      </c>
    </row>
    <row r="575" spans="1:12" x14ac:dyDescent="0.35">
      <c r="A575" s="3">
        <v>536412</v>
      </c>
      <c r="B575" s="3">
        <v>21448</v>
      </c>
      <c r="C575" s="3" t="s">
        <v>442</v>
      </c>
      <c r="D575" s="9">
        <v>1</v>
      </c>
      <c r="E575" s="4">
        <v>40767</v>
      </c>
      <c r="F575" s="5">
        <v>0.49236111111111114</v>
      </c>
      <c r="G575" s="6">
        <v>1.65</v>
      </c>
      <c r="H575" s="3">
        <v>17920</v>
      </c>
      <c r="I575" s="3" t="s">
        <v>5</v>
      </c>
      <c r="J575" s="3" t="str">
        <f t="shared" si="24"/>
        <v>Sale</v>
      </c>
      <c r="K575" s="6">
        <f t="shared" si="25"/>
        <v>1.65</v>
      </c>
      <c r="L575" s="6">
        <f t="shared" si="26"/>
        <v>1.65</v>
      </c>
    </row>
    <row r="576" spans="1:12" x14ac:dyDescent="0.35">
      <c r="A576" s="3">
        <v>536412</v>
      </c>
      <c r="B576" s="3">
        <v>22759</v>
      </c>
      <c r="C576" s="3" t="s">
        <v>438</v>
      </c>
      <c r="D576" s="9">
        <v>5</v>
      </c>
      <c r="E576" s="4">
        <v>40768</v>
      </c>
      <c r="F576" s="5">
        <v>0.49236111111111114</v>
      </c>
      <c r="G576" s="6">
        <v>1.65</v>
      </c>
      <c r="H576" s="3">
        <v>17920</v>
      </c>
      <c r="I576" s="3" t="s">
        <v>5</v>
      </c>
      <c r="J576" s="3" t="str">
        <f t="shared" si="24"/>
        <v>Sale</v>
      </c>
      <c r="K576" s="6">
        <f t="shared" si="25"/>
        <v>8.25</v>
      </c>
      <c r="L576" s="6">
        <f t="shared" si="26"/>
        <v>8.25</v>
      </c>
    </row>
    <row r="577" spans="1:12" x14ac:dyDescent="0.35">
      <c r="A577" s="3">
        <v>536412</v>
      </c>
      <c r="B577" s="3">
        <v>22242</v>
      </c>
      <c r="C577" s="3" t="s">
        <v>220</v>
      </c>
      <c r="D577" s="9">
        <v>5</v>
      </c>
      <c r="E577" s="4">
        <v>40769</v>
      </c>
      <c r="F577" s="5">
        <v>0.49236111111111114</v>
      </c>
      <c r="G577" s="6">
        <v>1.65</v>
      </c>
      <c r="H577" s="3">
        <v>17920</v>
      </c>
      <c r="I577" s="3" t="s">
        <v>5</v>
      </c>
      <c r="J577" s="3" t="str">
        <f t="shared" si="24"/>
        <v>Sale</v>
      </c>
      <c r="K577" s="6">
        <f t="shared" si="25"/>
        <v>8.25</v>
      </c>
      <c r="L577" s="6">
        <f t="shared" si="26"/>
        <v>8.25</v>
      </c>
    </row>
    <row r="578" spans="1:12" x14ac:dyDescent="0.35">
      <c r="A578" s="3">
        <v>536412</v>
      </c>
      <c r="B578" s="3" t="s">
        <v>38</v>
      </c>
      <c r="C578" s="3" t="s">
        <v>295</v>
      </c>
      <c r="D578" s="9">
        <v>12</v>
      </c>
      <c r="E578" s="4">
        <v>40770</v>
      </c>
      <c r="F578" s="5">
        <v>0.49236111111111114</v>
      </c>
      <c r="G578" s="6">
        <v>1.25</v>
      </c>
      <c r="H578" s="3">
        <v>17920</v>
      </c>
      <c r="I578" s="3" t="s">
        <v>5</v>
      </c>
      <c r="J578" s="3" t="str">
        <f t="shared" ref="J578:J641" si="27">IF(D578&lt;1,"Return","Sale")</f>
        <v>Sale</v>
      </c>
      <c r="K578" s="6">
        <f t="shared" ref="K578:K641" si="28">D578*G578</f>
        <v>15</v>
      </c>
      <c r="L578" s="6">
        <f t="shared" si="26"/>
        <v>15</v>
      </c>
    </row>
    <row r="579" spans="1:12" x14ac:dyDescent="0.35">
      <c r="A579" s="3">
        <v>536412</v>
      </c>
      <c r="B579" s="3">
        <v>21731</v>
      </c>
      <c r="C579" s="3" t="s">
        <v>107</v>
      </c>
      <c r="D579" s="9">
        <v>5</v>
      </c>
      <c r="E579" s="4">
        <v>40771</v>
      </c>
      <c r="F579" s="5">
        <v>0.49236111111111114</v>
      </c>
      <c r="G579" s="6">
        <v>1.65</v>
      </c>
      <c r="H579" s="3">
        <v>17920</v>
      </c>
      <c r="I579" s="3" t="s">
        <v>5</v>
      </c>
      <c r="J579" s="3" t="str">
        <f t="shared" si="27"/>
        <v>Sale</v>
      </c>
      <c r="K579" s="6">
        <f t="shared" si="28"/>
        <v>8.25</v>
      </c>
      <c r="L579" s="6">
        <f t="shared" ref="L579:L642" si="29" xml:space="preserve"> ABS(K579)</f>
        <v>8.25</v>
      </c>
    </row>
    <row r="580" spans="1:12" x14ac:dyDescent="0.35">
      <c r="A580" s="3">
        <v>536412</v>
      </c>
      <c r="B580" s="3">
        <v>22243</v>
      </c>
      <c r="C580" s="3" t="s">
        <v>443</v>
      </c>
      <c r="D580" s="9">
        <v>1</v>
      </c>
      <c r="E580" s="4">
        <v>40772</v>
      </c>
      <c r="F580" s="5">
        <v>0.49236111111111114</v>
      </c>
      <c r="G580" s="6">
        <v>1.65</v>
      </c>
      <c r="H580" s="3">
        <v>17920</v>
      </c>
      <c r="I580" s="3" t="s">
        <v>5</v>
      </c>
      <c r="J580" s="3" t="str">
        <f t="shared" si="27"/>
        <v>Sale</v>
      </c>
      <c r="K580" s="6">
        <f t="shared" si="28"/>
        <v>1.65</v>
      </c>
      <c r="L580" s="6">
        <f t="shared" si="29"/>
        <v>1.65</v>
      </c>
    </row>
    <row r="581" spans="1:12" x14ac:dyDescent="0.35">
      <c r="A581" s="3">
        <v>536412</v>
      </c>
      <c r="B581" s="3">
        <v>21739</v>
      </c>
      <c r="C581" s="3" t="s">
        <v>446</v>
      </c>
      <c r="D581" s="9">
        <v>2</v>
      </c>
      <c r="E581" s="4">
        <v>40773</v>
      </c>
      <c r="F581" s="5">
        <v>0.49236111111111114</v>
      </c>
      <c r="G581" s="6">
        <v>2.95</v>
      </c>
      <c r="H581" s="3">
        <v>17920</v>
      </c>
      <c r="I581" s="3" t="s">
        <v>5</v>
      </c>
      <c r="J581" s="3" t="str">
        <f t="shared" si="27"/>
        <v>Sale</v>
      </c>
      <c r="K581" s="6">
        <f t="shared" si="28"/>
        <v>5.9</v>
      </c>
      <c r="L581" s="6">
        <f t="shared" si="29"/>
        <v>5.9</v>
      </c>
    </row>
    <row r="582" spans="1:12" x14ac:dyDescent="0.35">
      <c r="A582" s="3">
        <v>536412</v>
      </c>
      <c r="B582" s="3">
        <v>21738</v>
      </c>
      <c r="C582" s="3" t="s">
        <v>440</v>
      </c>
      <c r="D582" s="9">
        <v>5</v>
      </c>
      <c r="E582" s="4">
        <v>40774</v>
      </c>
      <c r="F582" s="5">
        <v>0.49236111111111114</v>
      </c>
      <c r="G582" s="6">
        <v>2.95</v>
      </c>
      <c r="H582" s="3">
        <v>17920</v>
      </c>
      <c r="I582" s="3" t="s">
        <v>5</v>
      </c>
      <c r="J582" s="3" t="str">
        <f t="shared" si="27"/>
        <v>Sale</v>
      </c>
      <c r="K582" s="6">
        <f t="shared" si="28"/>
        <v>14.75</v>
      </c>
      <c r="L582" s="6">
        <f t="shared" si="29"/>
        <v>14.75</v>
      </c>
    </row>
    <row r="583" spans="1:12" x14ac:dyDescent="0.35">
      <c r="A583" s="3">
        <v>536412</v>
      </c>
      <c r="B583" s="3">
        <v>22271</v>
      </c>
      <c r="C583" s="3" t="s">
        <v>447</v>
      </c>
      <c r="D583" s="9">
        <v>2</v>
      </c>
      <c r="E583" s="4">
        <v>40775</v>
      </c>
      <c r="F583" s="5">
        <v>0.49236111111111114</v>
      </c>
      <c r="G583" s="6">
        <v>2.95</v>
      </c>
      <c r="H583" s="3">
        <v>17920</v>
      </c>
      <c r="I583" s="3" t="s">
        <v>5</v>
      </c>
      <c r="J583" s="3" t="str">
        <f t="shared" si="27"/>
        <v>Sale</v>
      </c>
      <c r="K583" s="6">
        <f t="shared" si="28"/>
        <v>5.9</v>
      </c>
      <c r="L583" s="6">
        <f t="shared" si="29"/>
        <v>5.9</v>
      </c>
    </row>
    <row r="584" spans="1:12" x14ac:dyDescent="0.35">
      <c r="A584" s="3">
        <v>536412</v>
      </c>
      <c r="B584" s="3">
        <v>22274</v>
      </c>
      <c r="C584" s="3" t="s">
        <v>448</v>
      </c>
      <c r="D584" s="9">
        <v>2</v>
      </c>
      <c r="E584" s="4">
        <v>40776</v>
      </c>
      <c r="F584" s="5">
        <v>0.49236111111111114</v>
      </c>
      <c r="G584" s="6">
        <v>2.95</v>
      </c>
      <c r="H584" s="3">
        <v>17920</v>
      </c>
      <c r="I584" s="3" t="s">
        <v>5</v>
      </c>
      <c r="J584" s="3" t="str">
        <f t="shared" si="27"/>
        <v>Sale</v>
      </c>
      <c r="K584" s="6">
        <f t="shared" si="28"/>
        <v>5.9</v>
      </c>
      <c r="L584" s="6">
        <f t="shared" si="29"/>
        <v>5.9</v>
      </c>
    </row>
    <row r="585" spans="1:12" x14ac:dyDescent="0.35">
      <c r="A585" s="3">
        <v>536412</v>
      </c>
      <c r="B585" s="3">
        <v>22751</v>
      </c>
      <c r="C585" s="3" t="s">
        <v>449</v>
      </c>
      <c r="D585" s="9">
        <v>2</v>
      </c>
      <c r="E585" s="4">
        <v>40777</v>
      </c>
      <c r="F585" s="5">
        <v>0.49236111111111114</v>
      </c>
      <c r="G585" s="6">
        <v>3.75</v>
      </c>
      <c r="H585" s="3">
        <v>17920</v>
      </c>
      <c r="I585" s="3" t="s">
        <v>5</v>
      </c>
      <c r="J585" s="3" t="str">
        <f t="shared" si="27"/>
        <v>Sale</v>
      </c>
      <c r="K585" s="6">
        <f t="shared" si="28"/>
        <v>7.5</v>
      </c>
      <c r="L585" s="6">
        <f t="shared" si="29"/>
        <v>7.5</v>
      </c>
    </row>
    <row r="586" spans="1:12" x14ac:dyDescent="0.35">
      <c r="A586" s="3">
        <v>536412</v>
      </c>
      <c r="B586" s="3">
        <v>21034</v>
      </c>
      <c r="C586" s="3" t="s">
        <v>450</v>
      </c>
      <c r="D586" s="9">
        <v>1</v>
      </c>
      <c r="E586" s="4">
        <v>40778</v>
      </c>
      <c r="F586" s="5">
        <v>0.49236111111111114</v>
      </c>
      <c r="G586" s="6">
        <v>0.95</v>
      </c>
      <c r="H586" s="3">
        <v>17920</v>
      </c>
      <c r="I586" s="3" t="s">
        <v>5</v>
      </c>
      <c r="J586" s="3" t="str">
        <f t="shared" si="27"/>
        <v>Sale</v>
      </c>
      <c r="K586" s="6">
        <f t="shared" si="28"/>
        <v>0.95</v>
      </c>
      <c r="L586" s="6">
        <f t="shared" si="29"/>
        <v>0.95</v>
      </c>
    </row>
    <row r="587" spans="1:12" x14ac:dyDescent="0.35">
      <c r="A587" s="3">
        <v>536412</v>
      </c>
      <c r="B587" s="3">
        <v>22273</v>
      </c>
      <c r="C587" s="3" t="s">
        <v>436</v>
      </c>
      <c r="D587" s="9">
        <v>2</v>
      </c>
      <c r="E587" s="4">
        <v>40779</v>
      </c>
      <c r="F587" s="5">
        <v>0.49236111111111114</v>
      </c>
      <c r="G587" s="6">
        <v>2.95</v>
      </c>
      <c r="H587" s="3">
        <v>17920</v>
      </c>
      <c r="I587" s="3" t="s">
        <v>5</v>
      </c>
      <c r="J587" s="3" t="str">
        <f t="shared" si="27"/>
        <v>Sale</v>
      </c>
      <c r="K587" s="6">
        <f t="shared" si="28"/>
        <v>5.9</v>
      </c>
      <c r="L587" s="6">
        <f t="shared" si="29"/>
        <v>5.9</v>
      </c>
    </row>
    <row r="588" spans="1:12" x14ac:dyDescent="0.35">
      <c r="A588" s="3">
        <v>536412</v>
      </c>
      <c r="B588" s="3">
        <v>22568</v>
      </c>
      <c r="C588" s="3" t="s">
        <v>398</v>
      </c>
      <c r="D588" s="9">
        <v>3</v>
      </c>
      <c r="E588" s="4">
        <v>40780</v>
      </c>
      <c r="F588" s="5">
        <v>0.49236111111111114</v>
      </c>
      <c r="G588" s="6">
        <v>3.75</v>
      </c>
      <c r="H588" s="3">
        <v>17920</v>
      </c>
      <c r="I588" s="3" t="s">
        <v>5</v>
      </c>
      <c r="J588" s="3" t="str">
        <f t="shared" si="27"/>
        <v>Sale</v>
      </c>
      <c r="K588" s="6">
        <f t="shared" si="28"/>
        <v>11.25</v>
      </c>
      <c r="L588" s="6">
        <f t="shared" si="29"/>
        <v>11.25</v>
      </c>
    </row>
    <row r="589" spans="1:12" x14ac:dyDescent="0.35">
      <c r="A589" s="3">
        <v>536412</v>
      </c>
      <c r="B589" s="3">
        <v>22144</v>
      </c>
      <c r="C589" s="3" t="s">
        <v>445</v>
      </c>
      <c r="D589" s="9">
        <v>1</v>
      </c>
      <c r="E589" s="4">
        <v>40781</v>
      </c>
      <c r="F589" s="5">
        <v>0.49236111111111114</v>
      </c>
      <c r="G589" s="6">
        <v>2.1</v>
      </c>
      <c r="H589" s="3">
        <v>17920</v>
      </c>
      <c r="I589" s="3" t="s">
        <v>5</v>
      </c>
      <c r="J589" s="3" t="str">
        <f t="shared" si="27"/>
        <v>Sale</v>
      </c>
      <c r="K589" s="6">
        <f t="shared" si="28"/>
        <v>2.1</v>
      </c>
      <c r="L589" s="6">
        <f t="shared" si="29"/>
        <v>2.1</v>
      </c>
    </row>
    <row r="590" spans="1:12" x14ac:dyDescent="0.35">
      <c r="A590" s="3">
        <v>536412</v>
      </c>
      <c r="B590" s="3">
        <v>22570</v>
      </c>
      <c r="C590" s="3" t="s">
        <v>451</v>
      </c>
      <c r="D590" s="9">
        <v>3</v>
      </c>
      <c r="E590" s="4">
        <v>40782</v>
      </c>
      <c r="F590" s="5">
        <v>0.49236111111111114</v>
      </c>
      <c r="G590" s="6">
        <v>3.75</v>
      </c>
      <c r="H590" s="3">
        <v>17920</v>
      </c>
      <c r="I590" s="3" t="s">
        <v>5</v>
      </c>
      <c r="J590" s="3" t="str">
        <f t="shared" si="27"/>
        <v>Sale</v>
      </c>
      <c r="K590" s="6">
        <f t="shared" si="28"/>
        <v>11.25</v>
      </c>
      <c r="L590" s="6">
        <f t="shared" si="29"/>
        <v>11.25</v>
      </c>
    </row>
    <row r="591" spans="1:12" x14ac:dyDescent="0.35">
      <c r="A591" s="3">
        <v>536412</v>
      </c>
      <c r="B591" s="3">
        <v>22569</v>
      </c>
      <c r="C591" s="3" t="s">
        <v>452</v>
      </c>
      <c r="D591" s="9">
        <v>2</v>
      </c>
      <c r="E591" s="4">
        <v>40783</v>
      </c>
      <c r="F591" s="5">
        <v>0.49236111111111114</v>
      </c>
      <c r="G591" s="6">
        <v>3.75</v>
      </c>
      <c r="H591" s="3">
        <v>17920</v>
      </c>
      <c r="I591" s="3" t="s">
        <v>5</v>
      </c>
      <c r="J591" s="3" t="str">
        <f t="shared" si="27"/>
        <v>Sale</v>
      </c>
      <c r="K591" s="6">
        <f t="shared" si="28"/>
        <v>7.5</v>
      </c>
      <c r="L591" s="6">
        <f t="shared" si="29"/>
        <v>7.5</v>
      </c>
    </row>
    <row r="592" spans="1:12" x14ac:dyDescent="0.35">
      <c r="A592" s="3">
        <v>536412</v>
      </c>
      <c r="B592" s="3">
        <v>22086</v>
      </c>
      <c r="C592" s="3" t="s">
        <v>114</v>
      </c>
      <c r="D592" s="9">
        <v>1</v>
      </c>
      <c r="E592" s="4">
        <v>40784</v>
      </c>
      <c r="F592" s="5">
        <v>0.49236111111111114</v>
      </c>
      <c r="G592" s="6">
        <v>2.95</v>
      </c>
      <c r="H592" s="3">
        <v>17920</v>
      </c>
      <c r="I592" s="3" t="s">
        <v>5</v>
      </c>
      <c r="J592" s="3" t="str">
        <f t="shared" si="27"/>
        <v>Sale</v>
      </c>
      <c r="K592" s="6">
        <f t="shared" si="28"/>
        <v>2.95</v>
      </c>
      <c r="L592" s="6">
        <f t="shared" si="29"/>
        <v>2.95</v>
      </c>
    </row>
    <row r="593" spans="1:12" x14ac:dyDescent="0.35">
      <c r="A593" s="3">
        <v>536412</v>
      </c>
      <c r="B593" s="3">
        <v>22968</v>
      </c>
      <c r="C593" s="3" t="s">
        <v>233</v>
      </c>
      <c r="D593" s="9">
        <v>4</v>
      </c>
      <c r="E593" s="4">
        <v>40785</v>
      </c>
      <c r="F593" s="5">
        <v>0.49236111111111114</v>
      </c>
      <c r="G593" s="6">
        <v>9.9499999999999993</v>
      </c>
      <c r="H593" s="3">
        <v>17920</v>
      </c>
      <c r="I593" s="3" t="s">
        <v>5</v>
      </c>
      <c r="J593" s="3" t="str">
        <f t="shared" si="27"/>
        <v>Sale</v>
      </c>
      <c r="K593" s="6">
        <f t="shared" si="28"/>
        <v>39.799999999999997</v>
      </c>
      <c r="L593" s="6">
        <f t="shared" si="29"/>
        <v>39.799999999999997</v>
      </c>
    </row>
    <row r="594" spans="1:12" x14ac:dyDescent="0.35">
      <c r="A594" s="3">
        <v>536412</v>
      </c>
      <c r="B594" s="3">
        <v>22902</v>
      </c>
      <c r="C594" s="3" t="s">
        <v>453</v>
      </c>
      <c r="D594" s="9">
        <v>7</v>
      </c>
      <c r="E594" s="4">
        <v>40786</v>
      </c>
      <c r="F594" s="5">
        <v>0.49236111111111114</v>
      </c>
      <c r="G594" s="6">
        <v>2.1</v>
      </c>
      <c r="H594" s="3">
        <v>17920</v>
      </c>
      <c r="I594" s="3" t="s">
        <v>5</v>
      </c>
      <c r="J594" s="3" t="str">
        <f t="shared" si="27"/>
        <v>Sale</v>
      </c>
      <c r="K594" s="6">
        <f t="shared" si="28"/>
        <v>14.700000000000001</v>
      </c>
      <c r="L594" s="6">
        <f t="shared" si="29"/>
        <v>14.700000000000001</v>
      </c>
    </row>
    <row r="595" spans="1:12" x14ac:dyDescent="0.35">
      <c r="A595" s="3">
        <v>536412</v>
      </c>
      <c r="B595" s="3">
        <v>21710</v>
      </c>
      <c r="C595" s="3" t="s">
        <v>454</v>
      </c>
      <c r="D595" s="9">
        <v>1</v>
      </c>
      <c r="E595" s="4">
        <v>40787</v>
      </c>
      <c r="F595" s="5">
        <v>0.49236111111111114</v>
      </c>
      <c r="G595" s="6">
        <v>4.95</v>
      </c>
      <c r="H595" s="3">
        <v>17920</v>
      </c>
      <c r="I595" s="3" t="s">
        <v>5</v>
      </c>
      <c r="J595" s="3" t="str">
        <f t="shared" si="27"/>
        <v>Sale</v>
      </c>
      <c r="K595" s="6">
        <f t="shared" si="28"/>
        <v>4.95</v>
      </c>
      <c r="L595" s="6">
        <f t="shared" si="29"/>
        <v>4.95</v>
      </c>
    </row>
    <row r="596" spans="1:12" x14ac:dyDescent="0.35">
      <c r="A596" s="3">
        <v>536412</v>
      </c>
      <c r="B596" s="3">
        <v>21708</v>
      </c>
      <c r="C596" s="3" t="s">
        <v>455</v>
      </c>
      <c r="D596" s="9">
        <v>1</v>
      </c>
      <c r="E596" s="4">
        <v>40788</v>
      </c>
      <c r="F596" s="5">
        <v>0.49236111111111114</v>
      </c>
      <c r="G596" s="6">
        <v>4.95</v>
      </c>
      <c r="H596" s="3">
        <v>17920</v>
      </c>
      <c r="I596" s="3" t="s">
        <v>5</v>
      </c>
      <c r="J596" s="3" t="str">
        <f t="shared" si="27"/>
        <v>Sale</v>
      </c>
      <c r="K596" s="6">
        <f t="shared" si="28"/>
        <v>4.95</v>
      </c>
      <c r="L596" s="6">
        <f t="shared" si="29"/>
        <v>4.95</v>
      </c>
    </row>
    <row r="597" spans="1:12" x14ac:dyDescent="0.35">
      <c r="A597" s="3">
        <v>536412</v>
      </c>
      <c r="B597" s="3">
        <v>21711</v>
      </c>
      <c r="C597" s="3" t="s">
        <v>456</v>
      </c>
      <c r="D597" s="9">
        <v>1</v>
      </c>
      <c r="E597" s="4">
        <v>40789</v>
      </c>
      <c r="F597" s="5">
        <v>0.49236111111111114</v>
      </c>
      <c r="G597" s="6">
        <v>4.95</v>
      </c>
      <c r="H597" s="3">
        <v>17920</v>
      </c>
      <c r="I597" s="3" t="s">
        <v>5</v>
      </c>
      <c r="J597" s="3" t="str">
        <f t="shared" si="27"/>
        <v>Sale</v>
      </c>
      <c r="K597" s="6">
        <f t="shared" si="28"/>
        <v>4.95</v>
      </c>
      <c r="L597" s="6">
        <f t="shared" si="29"/>
        <v>4.95</v>
      </c>
    </row>
    <row r="598" spans="1:12" x14ac:dyDescent="0.35">
      <c r="A598" s="3">
        <v>536412</v>
      </c>
      <c r="B598" s="3">
        <v>22179</v>
      </c>
      <c r="C598" s="3" t="s">
        <v>457</v>
      </c>
      <c r="D598" s="9">
        <v>2</v>
      </c>
      <c r="E598" s="4">
        <v>40790</v>
      </c>
      <c r="F598" s="5">
        <v>0.49236111111111114</v>
      </c>
      <c r="G598" s="6">
        <v>6.75</v>
      </c>
      <c r="H598" s="3">
        <v>17920</v>
      </c>
      <c r="I598" s="3" t="s">
        <v>5</v>
      </c>
      <c r="J598" s="3" t="str">
        <f t="shared" si="27"/>
        <v>Sale</v>
      </c>
      <c r="K598" s="6">
        <f t="shared" si="28"/>
        <v>13.5</v>
      </c>
      <c r="L598" s="6">
        <f t="shared" si="29"/>
        <v>13.5</v>
      </c>
    </row>
    <row r="599" spans="1:12" x14ac:dyDescent="0.35">
      <c r="A599" s="3">
        <v>536412</v>
      </c>
      <c r="B599" s="3">
        <v>22197</v>
      </c>
      <c r="C599" s="3" t="s">
        <v>237</v>
      </c>
      <c r="D599" s="9">
        <v>5</v>
      </c>
      <c r="E599" s="4">
        <v>40791</v>
      </c>
      <c r="F599" s="5">
        <v>0.49236111111111114</v>
      </c>
      <c r="G599" s="6">
        <v>0.85</v>
      </c>
      <c r="H599" s="3">
        <v>17920</v>
      </c>
      <c r="I599" s="3" t="s">
        <v>5</v>
      </c>
      <c r="J599" s="3" t="str">
        <f t="shared" si="27"/>
        <v>Sale</v>
      </c>
      <c r="K599" s="6">
        <f t="shared" si="28"/>
        <v>4.25</v>
      </c>
      <c r="L599" s="6">
        <f t="shared" si="29"/>
        <v>4.25</v>
      </c>
    </row>
    <row r="600" spans="1:12" x14ac:dyDescent="0.35">
      <c r="A600" s="3">
        <v>536412</v>
      </c>
      <c r="B600" s="3">
        <v>22900</v>
      </c>
      <c r="C600" s="3" t="s">
        <v>108</v>
      </c>
      <c r="D600" s="9">
        <v>2</v>
      </c>
      <c r="E600" s="4">
        <v>40792</v>
      </c>
      <c r="F600" s="5">
        <v>0.49236111111111114</v>
      </c>
      <c r="G600" s="6">
        <v>2.95</v>
      </c>
      <c r="H600" s="3">
        <v>17920</v>
      </c>
      <c r="I600" s="3" t="s">
        <v>5</v>
      </c>
      <c r="J600" s="3" t="str">
        <f t="shared" si="27"/>
        <v>Sale</v>
      </c>
      <c r="K600" s="6">
        <f t="shared" si="28"/>
        <v>5.9</v>
      </c>
      <c r="L600" s="6">
        <f t="shared" si="29"/>
        <v>5.9</v>
      </c>
    </row>
    <row r="601" spans="1:12" x14ac:dyDescent="0.35">
      <c r="A601" s="3">
        <v>536412</v>
      </c>
      <c r="B601" s="3">
        <v>21706</v>
      </c>
      <c r="C601" s="3" t="s">
        <v>458</v>
      </c>
      <c r="D601" s="9">
        <v>1</v>
      </c>
      <c r="E601" s="4">
        <v>40793</v>
      </c>
      <c r="F601" s="5">
        <v>0.49236111111111114</v>
      </c>
      <c r="G601" s="6">
        <v>4.95</v>
      </c>
      <c r="H601" s="3">
        <v>17920</v>
      </c>
      <c r="I601" s="3" t="s">
        <v>5</v>
      </c>
      <c r="J601" s="3" t="str">
        <f t="shared" si="27"/>
        <v>Sale</v>
      </c>
      <c r="K601" s="6">
        <f t="shared" si="28"/>
        <v>4.95</v>
      </c>
      <c r="L601" s="6">
        <f t="shared" si="29"/>
        <v>4.95</v>
      </c>
    </row>
    <row r="602" spans="1:12" x14ac:dyDescent="0.35">
      <c r="A602" s="3">
        <v>536412</v>
      </c>
      <c r="B602" s="3">
        <v>22468</v>
      </c>
      <c r="C602" s="3" t="s">
        <v>279</v>
      </c>
      <c r="D602" s="9">
        <v>2</v>
      </c>
      <c r="E602" s="4">
        <v>40794</v>
      </c>
      <c r="F602" s="5">
        <v>0.49236111111111114</v>
      </c>
      <c r="G602" s="6">
        <v>6.75</v>
      </c>
      <c r="H602" s="3">
        <v>17920</v>
      </c>
      <c r="I602" s="3" t="s">
        <v>5</v>
      </c>
      <c r="J602" s="3" t="str">
        <f t="shared" si="27"/>
        <v>Sale</v>
      </c>
      <c r="K602" s="6">
        <f t="shared" si="28"/>
        <v>13.5</v>
      </c>
      <c r="L602" s="6">
        <f t="shared" si="29"/>
        <v>13.5</v>
      </c>
    </row>
    <row r="603" spans="1:12" x14ac:dyDescent="0.35">
      <c r="A603" s="3">
        <v>536412</v>
      </c>
      <c r="B603" s="3">
        <v>20725</v>
      </c>
      <c r="C603" s="3" t="s">
        <v>134</v>
      </c>
      <c r="D603" s="9">
        <v>1</v>
      </c>
      <c r="E603" s="4">
        <v>40795</v>
      </c>
      <c r="F603" s="5">
        <v>0.49236111111111114</v>
      </c>
      <c r="G603" s="6">
        <v>1.65</v>
      </c>
      <c r="H603" s="3">
        <v>17920</v>
      </c>
      <c r="I603" s="3" t="s">
        <v>5</v>
      </c>
      <c r="J603" s="3" t="str">
        <f t="shared" si="27"/>
        <v>Sale</v>
      </c>
      <c r="K603" s="6">
        <f t="shared" si="28"/>
        <v>1.65</v>
      </c>
      <c r="L603" s="6">
        <f t="shared" si="29"/>
        <v>1.65</v>
      </c>
    </row>
    <row r="604" spans="1:12" x14ac:dyDescent="0.35">
      <c r="A604" s="3">
        <v>536412</v>
      </c>
      <c r="B604" s="3" t="s">
        <v>57</v>
      </c>
      <c r="C604" s="3" t="s">
        <v>459</v>
      </c>
      <c r="D604" s="9">
        <v>1</v>
      </c>
      <c r="E604" s="4">
        <v>40796</v>
      </c>
      <c r="F604" s="5">
        <v>0.49236111111111114</v>
      </c>
      <c r="G604" s="6">
        <v>2.95</v>
      </c>
      <c r="H604" s="3">
        <v>17920</v>
      </c>
      <c r="I604" s="3" t="s">
        <v>5</v>
      </c>
      <c r="J604" s="3" t="str">
        <f t="shared" si="27"/>
        <v>Sale</v>
      </c>
      <c r="K604" s="6">
        <f t="shared" si="28"/>
        <v>2.95</v>
      </c>
      <c r="L604" s="6">
        <f t="shared" si="29"/>
        <v>2.95</v>
      </c>
    </row>
    <row r="605" spans="1:12" x14ac:dyDescent="0.35">
      <c r="A605" s="3">
        <v>536412</v>
      </c>
      <c r="B605" s="3">
        <v>22988</v>
      </c>
      <c r="C605" s="3" t="s">
        <v>460</v>
      </c>
      <c r="D605" s="9">
        <v>6</v>
      </c>
      <c r="E605" s="4">
        <v>40797</v>
      </c>
      <c r="F605" s="5">
        <v>0.49236111111111114</v>
      </c>
      <c r="G605" s="6">
        <v>1.25</v>
      </c>
      <c r="H605" s="3">
        <v>17920</v>
      </c>
      <c r="I605" s="3" t="s">
        <v>5</v>
      </c>
      <c r="J605" s="3" t="str">
        <f t="shared" si="27"/>
        <v>Sale</v>
      </c>
      <c r="K605" s="6">
        <f t="shared" si="28"/>
        <v>7.5</v>
      </c>
      <c r="L605" s="6">
        <f t="shared" si="29"/>
        <v>7.5</v>
      </c>
    </row>
    <row r="606" spans="1:12" x14ac:dyDescent="0.35">
      <c r="A606" s="3">
        <v>536412</v>
      </c>
      <c r="B606" s="3">
        <v>20750</v>
      </c>
      <c r="C606" s="3" t="s">
        <v>461</v>
      </c>
      <c r="D606" s="9">
        <v>1</v>
      </c>
      <c r="E606" s="4">
        <v>40798</v>
      </c>
      <c r="F606" s="5">
        <v>0.49236111111111114</v>
      </c>
      <c r="G606" s="6">
        <v>7.95</v>
      </c>
      <c r="H606" s="3">
        <v>17920</v>
      </c>
      <c r="I606" s="3" t="s">
        <v>5</v>
      </c>
      <c r="J606" s="3" t="str">
        <f t="shared" si="27"/>
        <v>Sale</v>
      </c>
      <c r="K606" s="6">
        <f t="shared" si="28"/>
        <v>7.95</v>
      </c>
      <c r="L606" s="6">
        <f t="shared" si="29"/>
        <v>7.95</v>
      </c>
    </row>
    <row r="607" spans="1:12" x14ac:dyDescent="0.35">
      <c r="A607" s="3">
        <v>536415</v>
      </c>
      <c r="B607" s="3">
        <v>22952</v>
      </c>
      <c r="C607" s="3" t="s">
        <v>462</v>
      </c>
      <c r="D607" s="9">
        <v>10</v>
      </c>
      <c r="E607" s="4">
        <v>40799</v>
      </c>
      <c r="F607" s="5">
        <v>0.49791666666666667</v>
      </c>
      <c r="G607" s="6">
        <v>0.55000000000000004</v>
      </c>
      <c r="H607" s="3">
        <v>12838</v>
      </c>
      <c r="I607" s="3" t="s">
        <v>5</v>
      </c>
      <c r="J607" s="3" t="str">
        <f t="shared" si="27"/>
        <v>Sale</v>
      </c>
      <c r="K607" s="6">
        <f t="shared" si="28"/>
        <v>5.5</v>
      </c>
      <c r="L607" s="6">
        <f t="shared" si="29"/>
        <v>5.5</v>
      </c>
    </row>
    <row r="608" spans="1:12" x14ac:dyDescent="0.35">
      <c r="A608" s="3">
        <v>536415</v>
      </c>
      <c r="B608" s="3">
        <v>22910</v>
      </c>
      <c r="C608" s="3" t="s">
        <v>235</v>
      </c>
      <c r="D608" s="9">
        <v>5</v>
      </c>
      <c r="E608" s="4">
        <v>40800</v>
      </c>
      <c r="F608" s="5">
        <v>0.49791666666666667</v>
      </c>
      <c r="G608" s="6">
        <v>2.95</v>
      </c>
      <c r="H608" s="3">
        <v>12838</v>
      </c>
      <c r="I608" s="3" t="s">
        <v>5</v>
      </c>
      <c r="J608" s="3" t="str">
        <f t="shared" si="27"/>
        <v>Sale</v>
      </c>
      <c r="K608" s="6">
        <f t="shared" si="28"/>
        <v>14.75</v>
      </c>
      <c r="L608" s="6">
        <f t="shared" si="29"/>
        <v>14.75</v>
      </c>
    </row>
    <row r="609" spans="1:12" x14ac:dyDescent="0.35">
      <c r="A609" s="3">
        <v>536415</v>
      </c>
      <c r="B609" s="3">
        <v>22739</v>
      </c>
      <c r="C609" s="3" t="s">
        <v>463</v>
      </c>
      <c r="D609" s="9">
        <v>3</v>
      </c>
      <c r="E609" s="4">
        <v>40801</v>
      </c>
      <c r="F609" s="5">
        <v>0.49791666666666667</v>
      </c>
      <c r="G609" s="6">
        <v>1.65</v>
      </c>
      <c r="H609" s="3">
        <v>12838</v>
      </c>
      <c r="I609" s="3" t="s">
        <v>5</v>
      </c>
      <c r="J609" s="3" t="str">
        <f t="shared" si="27"/>
        <v>Sale</v>
      </c>
      <c r="K609" s="6">
        <f t="shared" si="28"/>
        <v>4.9499999999999993</v>
      </c>
      <c r="L609" s="6">
        <f t="shared" si="29"/>
        <v>4.9499999999999993</v>
      </c>
    </row>
    <row r="610" spans="1:12" x14ac:dyDescent="0.35">
      <c r="A610" s="3">
        <v>536415</v>
      </c>
      <c r="B610" s="3">
        <v>22738</v>
      </c>
      <c r="C610" s="3" t="s">
        <v>464</v>
      </c>
      <c r="D610" s="9">
        <v>3</v>
      </c>
      <c r="E610" s="4">
        <v>40802</v>
      </c>
      <c r="F610" s="5">
        <v>0.49791666666666667</v>
      </c>
      <c r="G610" s="6">
        <v>1.65</v>
      </c>
      <c r="H610" s="3">
        <v>12838</v>
      </c>
      <c r="I610" s="3" t="s">
        <v>5</v>
      </c>
      <c r="J610" s="3" t="str">
        <f t="shared" si="27"/>
        <v>Sale</v>
      </c>
      <c r="K610" s="6">
        <f t="shared" si="28"/>
        <v>4.9499999999999993</v>
      </c>
      <c r="L610" s="6">
        <f t="shared" si="29"/>
        <v>4.9499999999999993</v>
      </c>
    </row>
    <row r="611" spans="1:12" x14ac:dyDescent="0.35">
      <c r="A611" s="3">
        <v>536415</v>
      </c>
      <c r="B611" s="3">
        <v>22736</v>
      </c>
      <c r="C611" s="3" t="s">
        <v>391</v>
      </c>
      <c r="D611" s="9">
        <v>3</v>
      </c>
      <c r="E611" s="4">
        <v>40803</v>
      </c>
      <c r="F611" s="5">
        <v>0.49791666666666667</v>
      </c>
      <c r="G611" s="6">
        <v>1.65</v>
      </c>
      <c r="H611" s="3">
        <v>12838</v>
      </c>
      <c r="I611" s="3" t="s">
        <v>5</v>
      </c>
      <c r="J611" s="3" t="str">
        <f t="shared" si="27"/>
        <v>Sale</v>
      </c>
      <c r="K611" s="6">
        <f t="shared" si="28"/>
        <v>4.9499999999999993</v>
      </c>
      <c r="L611" s="6">
        <f t="shared" si="29"/>
        <v>4.9499999999999993</v>
      </c>
    </row>
    <row r="612" spans="1:12" x14ac:dyDescent="0.35">
      <c r="A612" s="3">
        <v>536415</v>
      </c>
      <c r="B612" s="3">
        <v>22909</v>
      </c>
      <c r="C612" s="3" t="s">
        <v>465</v>
      </c>
      <c r="D612" s="9">
        <v>5</v>
      </c>
      <c r="E612" s="4">
        <v>40804</v>
      </c>
      <c r="F612" s="5">
        <v>0.49791666666666667</v>
      </c>
      <c r="G612" s="6">
        <v>0.85</v>
      </c>
      <c r="H612" s="3">
        <v>12838</v>
      </c>
      <c r="I612" s="3" t="s">
        <v>5</v>
      </c>
      <c r="J612" s="3" t="str">
        <f t="shared" si="27"/>
        <v>Sale</v>
      </c>
      <c r="K612" s="6">
        <f t="shared" si="28"/>
        <v>4.25</v>
      </c>
      <c r="L612" s="6">
        <f t="shared" si="29"/>
        <v>4.25</v>
      </c>
    </row>
    <row r="613" spans="1:12" x14ac:dyDescent="0.35">
      <c r="A613" s="3">
        <v>536415</v>
      </c>
      <c r="B613" s="3" t="s">
        <v>58</v>
      </c>
      <c r="C613" s="3" t="s">
        <v>466</v>
      </c>
      <c r="D613" s="9">
        <v>2</v>
      </c>
      <c r="E613" s="4">
        <v>40805</v>
      </c>
      <c r="F613" s="5">
        <v>0.49791666666666667</v>
      </c>
      <c r="G613" s="6">
        <v>1.25</v>
      </c>
      <c r="H613" s="3">
        <v>12838</v>
      </c>
      <c r="I613" s="3" t="s">
        <v>5</v>
      </c>
      <c r="J613" s="3" t="str">
        <f t="shared" si="27"/>
        <v>Sale</v>
      </c>
      <c r="K613" s="6">
        <f t="shared" si="28"/>
        <v>2.5</v>
      </c>
      <c r="L613" s="6">
        <f t="shared" si="29"/>
        <v>2.5</v>
      </c>
    </row>
    <row r="614" spans="1:12" x14ac:dyDescent="0.35">
      <c r="A614" s="3">
        <v>536415</v>
      </c>
      <c r="B614" s="3">
        <v>22186</v>
      </c>
      <c r="C614" s="3" t="s">
        <v>467</v>
      </c>
      <c r="D614" s="9">
        <v>5</v>
      </c>
      <c r="E614" s="4">
        <v>40806</v>
      </c>
      <c r="F614" s="5">
        <v>0.49791666666666667</v>
      </c>
      <c r="G614" s="6">
        <v>2.95</v>
      </c>
      <c r="H614" s="3">
        <v>12838</v>
      </c>
      <c r="I614" s="3" t="s">
        <v>5</v>
      </c>
      <c r="J614" s="3" t="str">
        <f t="shared" si="27"/>
        <v>Sale</v>
      </c>
      <c r="K614" s="6">
        <f t="shared" si="28"/>
        <v>14.75</v>
      </c>
      <c r="L614" s="6">
        <f t="shared" si="29"/>
        <v>14.75</v>
      </c>
    </row>
    <row r="615" spans="1:12" x14ac:dyDescent="0.35">
      <c r="A615" s="3">
        <v>536415</v>
      </c>
      <c r="B615" s="3">
        <v>22695</v>
      </c>
      <c r="C615" s="3" t="s">
        <v>468</v>
      </c>
      <c r="D615" s="9">
        <v>3</v>
      </c>
      <c r="E615" s="4">
        <v>40807</v>
      </c>
      <c r="F615" s="5">
        <v>0.49791666666666667</v>
      </c>
      <c r="G615" s="6">
        <v>1.45</v>
      </c>
      <c r="H615" s="3">
        <v>12838</v>
      </c>
      <c r="I615" s="3" t="s">
        <v>5</v>
      </c>
      <c r="J615" s="3" t="str">
        <f t="shared" si="27"/>
        <v>Sale</v>
      </c>
      <c r="K615" s="6">
        <f t="shared" si="28"/>
        <v>4.3499999999999996</v>
      </c>
      <c r="L615" s="6">
        <f t="shared" si="29"/>
        <v>4.3499999999999996</v>
      </c>
    </row>
    <row r="616" spans="1:12" x14ac:dyDescent="0.35">
      <c r="A616" s="3">
        <v>536415</v>
      </c>
      <c r="B616" s="3">
        <v>22470</v>
      </c>
      <c r="C616" s="3" t="s">
        <v>195</v>
      </c>
      <c r="D616" s="9">
        <v>1</v>
      </c>
      <c r="E616" s="4">
        <v>40808</v>
      </c>
      <c r="F616" s="5">
        <v>0.49791666666666667</v>
      </c>
      <c r="G616" s="6">
        <v>2.95</v>
      </c>
      <c r="H616" s="3">
        <v>12838</v>
      </c>
      <c r="I616" s="3" t="s">
        <v>5</v>
      </c>
      <c r="J616" s="3" t="str">
        <f t="shared" si="27"/>
        <v>Sale</v>
      </c>
      <c r="K616" s="6">
        <f t="shared" si="28"/>
        <v>2.95</v>
      </c>
      <c r="L616" s="6">
        <f t="shared" si="29"/>
        <v>2.95</v>
      </c>
    </row>
    <row r="617" spans="1:12" x14ac:dyDescent="0.35">
      <c r="A617" s="3">
        <v>536415</v>
      </c>
      <c r="B617" s="3">
        <v>22580</v>
      </c>
      <c r="C617" s="3" t="s">
        <v>469</v>
      </c>
      <c r="D617" s="9">
        <v>1</v>
      </c>
      <c r="E617" s="4">
        <v>40809</v>
      </c>
      <c r="F617" s="5">
        <v>0.49791666666666667</v>
      </c>
      <c r="G617" s="6">
        <v>5.95</v>
      </c>
      <c r="H617" s="3">
        <v>12838</v>
      </c>
      <c r="I617" s="3" t="s">
        <v>5</v>
      </c>
      <c r="J617" s="3" t="str">
        <f t="shared" si="27"/>
        <v>Sale</v>
      </c>
      <c r="K617" s="6">
        <f t="shared" si="28"/>
        <v>5.95</v>
      </c>
      <c r="L617" s="6">
        <f t="shared" si="29"/>
        <v>5.95</v>
      </c>
    </row>
    <row r="618" spans="1:12" x14ac:dyDescent="0.35">
      <c r="A618" s="3">
        <v>536415</v>
      </c>
      <c r="B618" s="3">
        <v>22469</v>
      </c>
      <c r="C618" s="3" t="s">
        <v>194</v>
      </c>
      <c r="D618" s="9">
        <v>5</v>
      </c>
      <c r="E618" s="4">
        <v>40810</v>
      </c>
      <c r="F618" s="5">
        <v>0.49791666666666667</v>
      </c>
      <c r="G618" s="6">
        <v>1.65</v>
      </c>
      <c r="H618" s="3">
        <v>12838</v>
      </c>
      <c r="I618" s="3" t="s">
        <v>5</v>
      </c>
      <c r="J618" s="3" t="str">
        <f t="shared" si="27"/>
        <v>Sale</v>
      </c>
      <c r="K618" s="6">
        <f t="shared" si="28"/>
        <v>8.25</v>
      </c>
      <c r="L618" s="6">
        <f t="shared" si="29"/>
        <v>8.25</v>
      </c>
    </row>
    <row r="619" spans="1:12" x14ac:dyDescent="0.35">
      <c r="A619" s="3">
        <v>536415</v>
      </c>
      <c r="B619" s="3">
        <v>22147</v>
      </c>
      <c r="C619" s="3" t="s">
        <v>470</v>
      </c>
      <c r="D619" s="9">
        <v>4</v>
      </c>
      <c r="E619" s="4">
        <v>40811</v>
      </c>
      <c r="F619" s="5">
        <v>0.49791666666666667</v>
      </c>
      <c r="G619" s="6">
        <v>1.45</v>
      </c>
      <c r="H619" s="3">
        <v>12838</v>
      </c>
      <c r="I619" s="3" t="s">
        <v>5</v>
      </c>
      <c r="J619" s="3" t="str">
        <f t="shared" si="27"/>
        <v>Sale</v>
      </c>
      <c r="K619" s="6">
        <f t="shared" si="28"/>
        <v>5.8</v>
      </c>
      <c r="L619" s="6">
        <f t="shared" si="29"/>
        <v>5.8</v>
      </c>
    </row>
    <row r="620" spans="1:12" x14ac:dyDescent="0.35">
      <c r="A620" s="3">
        <v>536415</v>
      </c>
      <c r="B620" s="3">
        <v>22130</v>
      </c>
      <c r="C620" s="3" t="s">
        <v>471</v>
      </c>
      <c r="D620" s="9">
        <v>6</v>
      </c>
      <c r="E620" s="4">
        <v>40812</v>
      </c>
      <c r="F620" s="5">
        <v>0.49791666666666667</v>
      </c>
      <c r="G620" s="6">
        <v>0.85</v>
      </c>
      <c r="H620" s="3">
        <v>12838</v>
      </c>
      <c r="I620" s="3" t="s">
        <v>5</v>
      </c>
      <c r="J620" s="3" t="str">
        <f t="shared" si="27"/>
        <v>Sale</v>
      </c>
      <c r="K620" s="6">
        <f t="shared" si="28"/>
        <v>5.0999999999999996</v>
      </c>
      <c r="L620" s="6">
        <f t="shared" si="29"/>
        <v>5.0999999999999996</v>
      </c>
    </row>
    <row r="621" spans="1:12" x14ac:dyDescent="0.35">
      <c r="A621" s="3">
        <v>536415</v>
      </c>
      <c r="B621" s="3">
        <v>21791</v>
      </c>
      <c r="C621" s="3" t="s">
        <v>100</v>
      </c>
      <c r="D621" s="9">
        <v>3</v>
      </c>
      <c r="E621" s="4">
        <v>40813</v>
      </c>
      <c r="F621" s="5">
        <v>0.49791666666666667</v>
      </c>
      <c r="G621" s="6">
        <v>1.25</v>
      </c>
      <c r="H621" s="3">
        <v>12838</v>
      </c>
      <c r="I621" s="3" t="s">
        <v>5</v>
      </c>
      <c r="J621" s="3" t="str">
        <f t="shared" si="27"/>
        <v>Sale</v>
      </c>
      <c r="K621" s="6">
        <f t="shared" si="28"/>
        <v>3.75</v>
      </c>
      <c r="L621" s="6">
        <f t="shared" si="29"/>
        <v>3.75</v>
      </c>
    </row>
    <row r="622" spans="1:12" x14ac:dyDescent="0.35">
      <c r="A622" s="3">
        <v>536415</v>
      </c>
      <c r="B622" s="3">
        <v>22694</v>
      </c>
      <c r="C622" s="3" t="s">
        <v>472</v>
      </c>
      <c r="D622" s="9">
        <v>5</v>
      </c>
      <c r="E622" s="4">
        <v>40814</v>
      </c>
      <c r="F622" s="5">
        <v>0.49791666666666667</v>
      </c>
      <c r="G622" s="6">
        <v>2.1</v>
      </c>
      <c r="H622" s="3">
        <v>12838</v>
      </c>
      <c r="I622" s="3" t="s">
        <v>5</v>
      </c>
      <c r="J622" s="3" t="str">
        <f t="shared" si="27"/>
        <v>Sale</v>
      </c>
      <c r="K622" s="6">
        <f t="shared" si="28"/>
        <v>10.5</v>
      </c>
      <c r="L622" s="6">
        <f t="shared" si="29"/>
        <v>10.5</v>
      </c>
    </row>
    <row r="623" spans="1:12" x14ac:dyDescent="0.35">
      <c r="A623" s="3">
        <v>536415</v>
      </c>
      <c r="B623" s="3">
        <v>21790</v>
      </c>
      <c r="C623" s="3" t="s">
        <v>473</v>
      </c>
      <c r="D623" s="9">
        <v>3</v>
      </c>
      <c r="E623" s="4">
        <v>40815</v>
      </c>
      <c r="F623" s="5">
        <v>0.49791666666666667</v>
      </c>
      <c r="G623" s="6">
        <v>0.85</v>
      </c>
      <c r="H623" s="3">
        <v>12838</v>
      </c>
      <c r="I623" s="3" t="s">
        <v>5</v>
      </c>
      <c r="J623" s="3" t="str">
        <f t="shared" si="27"/>
        <v>Sale</v>
      </c>
      <c r="K623" s="6">
        <f t="shared" si="28"/>
        <v>2.5499999999999998</v>
      </c>
      <c r="L623" s="6">
        <f t="shared" si="29"/>
        <v>2.5499999999999998</v>
      </c>
    </row>
    <row r="624" spans="1:12" x14ac:dyDescent="0.35">
      <c r="A624" s="3">
        <v>536415</v>
      </c>
      <c r="B624" s="3">
        <v>22149</v>
      </c>
      <c r="C624" s="3" t="s">
        <v>474</v>
      </c>
      <c r="D624" s="9">
        <v>4</v>
      </c>
      <c r="E624" s="4">
        <v>40816</v>
      </c>
      <c r="F624" s="5">
        <v>0.49791666666666667</v>
      </c>
      <c r="G624" s="6">
        <v>2.1</v>
      </c>
      <c r="H624" s="3">
        <v>12838</v>
      </c>
      <c r="I624" s="3" t="s">
        <v>5</v>
      </c>
      <c r="J624" s="3" t="str">
        <f t="shared" si="27"/>
        <v>Sale</v>
      </c>
      <c r="K624" s="6">
        <f t="shared" si="28"/>
        <v>8.4</v>
      </c>
      <c r="L624" s="6">
        <f t="shared" si="29"/>
        <v>8.4</v>
      </c>
    </row>
    <row r="625" spans="1:12" x14ac:dyDescent="0.35">
      <c r="A625" s="3">
        <v>536415</v>
      </c>
      <c r="B625" s="3">
        <v>22900</v>
      </c>
      <c r="C625" s="3" t="s">
        <v>108</v>
      </c>
      <c r="D625" s="9">
        <v>3</v>
      </c>
      <c r="E625" s="4">
        <v>40817</v>
      </c>
      <c r="F625" s="5">
        <v>0.49791666666666667</v>
      </c>
      <c r="G625" s="6">
        <v>2.95</v>
      </c>
      <c r="H625" s="3">
        <v>12838</v>
      </c>
      <c r="I625" s="3" t="s">
        <v>5</v>
      </c>
      <c r="J625" s="3" t="str">
        <f t="shared" si="27"/>
        <v>Sale</v>
      </c>
      <c r="K625" s="6">
        <f t="shared" si="28"/>
        <v>8.8500000000000014</v>
      </c>
      <c r="L625" s="6">
        <f t="shared" si="29"/>
        <v>8.8500000000000014</v>
      </c>
    </row>
    <row r="626" spans="1:12" x14ac:dyDescent="0.35">
      <c r="A626" s="3">
        <v>536415</v>
      </c>
      <c r="B626" s="3">
        <v>22961</v>
      </c>
      <c r="C626" s="3" t="s">
        <v>146</v>
      </c>
      <c r="D626" s="9">
        <v>3</v>
      </c>
      <c r="E626" s="4">
        <v>40818</v>
      </c>
      <c r="F626" s="5">
        <v>0.49791666666666667</v>
      </c>
      <c r="G626" s="6">
        <v>1.45</v>
      </c>
      <c r="H626" s="3">
        <v>12838</v>
      </c>
      <c r="I626" s="3" t="s">
        <v>5</v>
      </c>
      <c r="J626" s="3" t="str">
        <f t="shared" si="27"/>
        <v>Sale</v>
      </c>
      <c r="K626" s="6">
        <f t="shared" si="28"/>
        <v>4.3499999999999996</v>
      </c>
      <c r="L626" s="6">
        <f t="shared" si="29"/>
        <v>4.3499999999999996</v>
      </c>
    </row>
    <row r="627" spans="1:12" x14ac:dyDescent="0.35">
      <c r="A627" s="3">
        <v>536415</v>
      </c>
      <c r="B627" s="3">
        <v>22321</v>
      </c>
      <c r="C627" s="3" t="s">
        <v>475</v>
      </c>
      <c r="D627" s="9">
        <v>12</v>
      </c>
      <c r="E627" s="4">
        <v>40819</v>
      </c>
      <c r="F627" s="5">
        <v>0.49791666666666667</v>
      </c>
      <c r="G627" s="6">
        <v>0.85</v>
      </c>
      <c r="H627" s="3">
        <v>12838</v>
      </c>
      <c r="I627" s="3" t="s">
        <v>5</v>
      </c>
      <c r="J627" s="3" t="str">
        <f t="shared" si="27"/>
        <v>Sale</v>
      </c>
      <c r="K627" s="6">
        <f t="shared" si="28"/>
        <v>10.199999999999999</v>
      </c>
      <c r="L627" s="6">
        <f t="shared" si="29"/>
        <v>10.199999999999999</v>
      </c>
    </row>
    <row r="628" spans="1:12" x14ac:dyDescent="0.35">
      <c r="A628" s="3">
        <v>536415</v>
      </c>
      <c r="B628" s="3">
        <v>22594</v>
      </c>
      <c r="C628" s="3" t="s">
        <v>476</v>
      </c>
      <c r="D628" s="9">
        <v>5</v>
      </c>
      <c r="E628" s="4">
        <v>40820</v>
      </c>
      <c r="F628" s="5">
        <v>0.49791666666666667</v>
      </c>
      <c r="G628" s="6">
        <v>0.85</v>
      </c>
      <c r="H628" s="3">
        <v>12838</v>
      </c>
      <c r="I628" s="3" t="s">
        <v>5</v>
      </c>
      <c r="J628" s="3" t="str">
        <f t="shared" si="27"/>
        <v>Sale</v>
      </c>
      <c r="K628" s="6">
        <f t="shared" si="28"/>
        <v>4.25</v>
      </c>
      <c r="L628" s="6">
        <f t="shared" si="29"/>
        <v>4.25</v>
      </c>
    </row>
    <row r="629" spans="1:12" x14ac:dyDescent="0.35">
      <c r="A629" s="3">
        <v>536415</v>
      </c>
      <c r="B629" s="3">
        <v>22593</v>
      </c>
      <c r="C629" s="3" t="s">
        <v>477</v>
      </c>
      <c r="D629" s="9">
        <v>4</v>
      </c>
      <c r="E629" s="4">
        <v>40821</v>
      </c>
      <c r="F629" s="5">
        <v>0.49791666666666667</v>
      </c>
      <c r="G629" s="6">
        <v>0.85</v>
      </c>
      <c r="H629" s="3">
        <v>12838</v>
      </c>
      <c r="I629" s="3" t="s">
        <v>5</v>
      </c>
      <c r="J629" s="3" t="str">
        <f t="shared" si="27"/>
        <v>Sale</v>
      </c>
      <c r="K629" s="6">
        <f t="shared" si="28"/>
        <v>3.4</v>
      </c>
      <c r="L629" s="6">
        <f t="shared" si="29"/>
        <v>3.4</v>
      </c>
    </row>
    <row r="630" spans="1:12" x14ac:dyDescent="0.35">
      <c r="A630" s="3">
        <v>536415</v>
      </c>
      <c r="B630" s="3">
        <v>22595</v>
      </c>
      <c r="C630" s="3" t="s">
        <v>478</v>
      </c>
      <c r="D630" s="9">
        <v>6</v>
      </c>
      <c r="E630" s="4">
        <v>40822</v>
      </c>
      <c r="F630" s="5">
        <v>0.49791666666666667</v>
      </c>
      <c r="G630" s="6">
        <v>0.85</v>
      </c>
      <c r="H630" s="3">
        <v>12838</v>
      </c>
      <c r="I630" s="3" t="s">
        <v>5</v>
      </c>
      <c r="J630" s="3" t="str">
        <f t="shared" si="27"/>
        <v>Sale</v>
      </c>
      <c r="K630" s="6">
        <f t="shared" si="28"/>
        <v>5.0999999999999996</v>
      </c>
      <c r="L630" s="6">
        <f t="shared" si="29"/>
        <v>5.0999999999999996</v>
      </c>
    </row>
    <row r="631" spans="1:12" x14ac:dyDescent="0.35">
      <c r="A631" s="3">
        <v>536415</v>
      </c>
      <c r="B631" s="3">
        <v>21986</v>
      </c>
      <c r="C631" s="3" t="s">
        <v>479</v>
      </c>
      <c r="D631" s="9">
        <v>12</v>
      </c>
      <c r="E631" s="4">
        <v>40823</v>
      </c>
      <c r="F631" s="5">
        <v>0.49791666666666667</v>
      </c>
      <c r="G631" s="6">
        <v>0.28999999999999998</v>
      </c>
      <c r="H631" s="3">
        <v>12838</v>
      </c>
      <c r="I631" s="3" t="s">
        <v>5</v>
      </c>
      <c r="J631" s="3" t="str">
        <f t="shared" si="27"/>
        <v>Sale</v>
      </c>
      <c r="K631" s="6">
        <f t="shared" si="28"/>
        <v>3.4799999999999995</v>
      </c>
      <c r="L631" s="6">
        <f t="shared" si="29"/>
        <v>3.4799999999999995</v>
      </c>
    </row>
    <row r="632" spans="1:12" x14ac:dyDescent="0.35">
      <c r="A632" s="3">
        <v>536415</v>
      </c>
      <c r="B632" s="3">
        <v>22750</v>
      </c>
      <c r="C632" s="3" t="s">
        <v>480</v>
      </c>
      <c r="D632" s="9">
        <v>2</v>
      </c>
      <c r="E632" s="4">
        <v>40824</v>
      </c>
      <c r="F632" s="5">
        <v>0.49791666666666667</v>
      </c>
      <c r="G632" s="6">
        <v>3.75</v>
      </c>
      <c r="H632" s="3">
        <v>12838</v>
      </c>
      <c r="I632" s="3" t="s">
        <v>5</v>
      </c>
      <c r="J632" s="3" t="str">
        <f t="shared" si="27"/>
        <v>Sale</v>
      </c>
      <c r="K632" s="6">
        <f t="shared" si="28"/>
        <v>7.5</v>
      </c>
      <c r="L632" s="6">
        <f t="shared" si="29"/>
        <v>7.5</v>
      </c>
    </row>
    <row r="633" spans="1:12" x14ac:dyDescent="0.35">
      <c r="A633" s="3">
        <v>536415</v>
      </c>
      <c r="B633" s="3">
        <v>22616</v>
      </c>
      <c r="C633" s="3" t="s">
        <v>481</v>
      </c>
      <c r="D633" s="9">
        <v>12</v>
      </c>
      <c r="E633" s="4">
        <v>40825</v>
      </c>
      <c r="F633" s="5">
        <v>0.49791666666666667</v>
      </c>
      <c r="G633" s="6">
        <v>0.28999999999999998</v>
      </c>
      <c r="H633" s="3">
        <v>12838</v>
      </c>
      <c r="I633" s="3" t="s">
        <v>5</v>
      </c>
      <c r="J633" s="3" t="str">
        <f t="shared" si="27"/>
        <v>Sale</v>
      </c>
      <c r="K633" s="6">
        <f t="shared" si="28"/>
        <v>3.4799999999999995</v>
      </c>
      <c r="L633" s="6">
        <f t="shared" si="29"/>
        <v>3.4799999999999995</v>
      </c>
    </row>
    <row r="634" spans="1:12" x14ac:dyDescent="0.35">
      <c r="A634" s="3">
        <v>536415</v>
      </c>
      <c r="B634" s="3">
        <v>22775</v>
      </c>
      <c r="C634" s="3" t="s">
        <v>482</v>
      </c>
      <c r="D634" s="9">
        <v>1</v>
      </c>
      <c r="E634" s="4">
        <v>40826</v>
      </c>
      <c r="F634" s="5">
        <v>0.49791666666666667</v>
      </c>
      <c r="G634" s="6">
        <v>1.25</v>
      </c>
      <c r="H634" s="3">
        <v>12838</v>
      </c>
      <c r="I634" s="3" t="s">
        <v>5</v>
      </c>
      <c r="J634" s="3" t="str">
        <f t="shared" si="27"/>
        <v>Sale</v>
      </c>
      <c r="K634" s="6">
        <f t="shared" si="28"/>
        <v>1.25</v>
      </c>
      <c r="L634" s="6">
        <f t="shared" si="29"/>
        <v>1.25</v>
      </c>
    </row>
    <row r="635" spans="1:12" x14ac:dyDescent="0.35">
      <c r="A635" s="3">
        <v>536415</v>
      </c>
      <c r="B635" s="3">
        <v>22899</v>
      </c>
      <c r="C635" s="3" t="s">
        <v>483</v>
      </c>
      <c r="D635" s="9">
        <v>2</v>
      </c>
      <c r="E635" s="4">
        <v>40827</v>
      </c>
      <c r="F635" s="5">
        <v>0.49791666666666667</v>
      </c>
      <c r="G635" s="6">
        <v>2.1</v>
      </c>
      <c r="H635" s="3">
        <v>12838</v>
      </c>
      <c r="I635" s="3" t="s">
        <v>5</v>
      </c>
      <c r="J635" s="3" t="str">
        <f t="shared" si="27"/>
        <v>Sale</v>
      </c>
      <c r="K635" s="6">
        <f t="shared" si="28"/>
        <v>4.2</v>
      </c>
      <c r="L635" s="6">
        <f t="shared" si="29"/>
        <v>4.2</v>
      </c>
    </row>
    <row r="636" spans="1:12" x14ac:dyDescent="0.35">
      <c r="A636" s="3">
        <v>536415</v>
      </c>
      <c r="B636" s="3">
        <v>22367</v>
      </c>
      <c r="C636" s="3" t="s">
        <v>484</v>
      </c>
      <c r="D636" s="9">
        <v>3</v>
      </c>
      <c r="E636" s="4">
        <v>40828</v>
      </c>
      <c r="F636" s="5">
        <v>0.49791666666666667</v>
      </c>
      <c r="G636" s="6">
        <v>1.95</v>
      </c>
      <c r="H636" s="3">
        <v>12838</v>
      </c>
      <c r="I636" s="3" t="s">
        <v>5</v>
      </c>
      <c r="J636" s="3" t="str">
        <f t="shared" si="27"/>
        <v>Sale</v>
      </c>
      <c r="K636" s="6">
        <f t="shared" si="28"/>
        <v>5.85</v>
      </c>
      <c r="L636" s="6">
        <f t="shared" si="29"/>
        <v>5.85</v>
      </c>
    </row>
    <row r="637" spans="1:12" x14ac:dyDescent="0.35">
      <c r="A637" s="3">
        <v>536415</v>
      </c>
      <c r="B637" s="3">
        <v>22942</v>
      </c>
      <c r="C637" s="3" t="s">
        <v>485</v>
      </c>
      <c r="D637" s="9">
        <v>3</v>
      </c>
      <c r="E637" s="4">
        <v>40829</v>
      </c>
      <c r="F637" s="5">
        <v>0.49791666666666667</v>
      </c>
      <c r="G637" s="6">
        <v>8.5</v>
      </c>
      <c r="H637" s="3">
        <v>12838</v>
      </c>
      <c r="I637" s="3" t="s">
        <v>5</v>
      </c>
      <c r="J637" s="3" t="str">
        <f t="shared" si="27"/>
        <v>Sale</v>
      </c>
      <c r="K637" s="6">
        <f t="shared" si="28"/>
        <v>25.5</v>
      </c>
      <c r="L637" s="6">
        <f t="shared" si="29"/>
        <v>25.5</v>
      </c>
    </row>
    <row r="638" spans="1:12" x14ac:dyDescent="0.35">
      <c r="A638" s="3">
        <v>536415</v>
      </c>
      <c r="B638" s="3">
        <v>22941</v>
      </c>
      <c r="C638" s="3" t="s">
        <v>221</v>
      </c>
      <c r="D638" s="9">
        <v>3</v>
      </c>
      <c r="E638" s="4">
        <v>40830</v>
      </c>
      <c r="F638" s="5">
        <v>0.49791666666666667</v>
      </c>
      <c r="G638" s="6">
        <v>8.5</v>
      </c>
      <c r="H638" s="3">
        <v>12838</v>
      </c>
      <c r="I638" s="3" t="s">
        <v>5</v>
      </c>
      <c r="J638" s="3" t="str">
        <f t="shared" si="27"/>
        <v>Sale</v>
      </c>
      <c r="K638" s="6">
        <f t="shared" si="28"/>
        <v>25.5</v>
      </c>
      <c r="L638" s="6">
        <f t="shared" si="29"/>
        <v>25.5</v>
      </c>
    </row>
    <row r="639" spans="1:12" x14ac:dyDescent="0.35">
      <c r="A639" s="3">
        <v>536415</v>
      </c>
      <c r="B639" s="3">
        <v>22086</v>
      </c>
      <c r="C639" s="3" t="s">
        <v>114</v>
      </c>
      <c r="D639" s="9">
        <v>6</v>
      </c>
      <c r="E639" s="4">
        <v>40831</v>
      </c>
      <c r="F639" s="5">
        <v>0.49791666666666667</v>
      </c>
      <c r="G639" s="6">
        <v>2.95</v>
      </c>
      <c r="H639" s="3">
        <v>12838</v>
      </c>
      <c r="I639" s="3" t="s">
        <v>5</v>
      </c>
      <c r="J639" s="3" t="str">
        <f t="shared" si="27"/>
        <v>Sale</v>
      </c>
      <c r="K639" s="6">
        <f t="shared" si="28"/>
        <v>17.700000000000003</v>
      </c>
      <c r="L639" s="6">
        <f t="shared" si="29"/>
        <v>17.700000000000003</v>
      </c>
    </row>
    <row r="640" spans="1:12" x14ac:dyDescent="0.35">
      <c r="A640" s="3">
        <v>536415</v>
      </c>
      <c r="B640" s="3">
        <v>22940</v>
      </c>
      <c r="C640" s="3" t="s">
        <v>437</v>
      </c>
      <c r="D640" s="9">
        <v>2</v>
      </c>
      <c r="E640" s="4">
        <v>40832</v>
      </c>
      <c r="F640" s="5">
        <v>0.49791666666666667</v>
      </c>
      <c r="G640" s="6">
        <v>4.25</v>
      </c>
      <c r="H640" s="3">
        <v>12838</v>
      </c>
      <c r="I640" s="3" t="s">
        <v>5</v>
      </c>
      <c r="J640" s="3" t="str">
        <f t="shared" si="27"/>
        <v>Sale</v>
      </c>
      <c r="K640" s="6">
        <f t="shared" si="28"/>
        <v>8.5</v>
      </c>
      <c r="L640" s="6">
        <f t="shared" si="29"/>
        <v>8.5</v>
      </c>
    </row>
    <row r="641" spans="1:12" x14ac:dyDescent="0.35">
      <c r="A641" s="3">
        <v>536415</v>
      </c>
      <c r="B641" s="3">
        <v>21212</v>
      </c>
      <c r="C641" s="3" t="s">
        <v>137</v>
      </c>
      <c r="D641" s="9">
        <v>2</v>
      </c>
      <c r="E641" s="4">
        <v>40833</v>
      </c>
      <c r="F641" s="5">
        <v>0.49791666666666667</v>
      </c>
      <c r="G641" s="6">
        <v>0.55000000000000004</v>
      </c>
      <c r="H641" s="3">
        <v>12838</v>
      </c>
      <c r="I641" s="3" t="s">
        <v>5</v>
      </c>
      <c r="J641" s="3" t="str">
        <f t="shared" si="27"/>
        <v>Sale</v>
      </c>
      <c r="K641" s="6">
        <f t="shared" si="28"/>
        <v>1.1000000000000001</v>
      </c>
      <c r="L641" s="6">
        <f t="shared" si="29"/>
        <v>1.1000000000000001</v>
      </c>
    </row>
    <row r="642" spans="1:12" x14ac:dyDescent="0.35">
      <c r="A642" s="3">
        <v>536415</v>
      </c>
      <c r="B642" s="3">
        <v>21976</v>
      </c>
      <c r="C642" s="3" t="s">
        <v>486</v>
      </c>
      <c r="D642" s="9">
        <v>2</v>
      </c>
      <c r="E642" s="4">
        <v>40834</v>
      </c>
      <c r="F642" s="5">
        <v>0.49791666666666667</v>
      </c>
      <c r="G642" s="6">
        <v>0.55000000000000004</v>
      </c>
      <c r="H642" s="3">
        <v>12838</v>
      </c>
      <c r="I642" s="3" t="s">
        <v>5</v>
      </c>
      <c r="J642" s="3" t="str">
        <f t="shared" ref="J642:J683" si="30">IF(D642&lt;1,"Return","Sale")</f>
        <v>Sale</v>
      </c>
      <c r="K642" s="6">
        <f t="shared" ref="K642:K683" si="31">D642*G642</f>
        <v>1.1000000000000001</v>
      </c>
      <c r="L642" s="6">
        <f t="shared" si="29"/>
        <v>1.1000000000000001</v>
      </c>
    </row>
    <row r="643" spans="1:12" x14ac:dyDescent="0.35">
      <c r="A643" s="3">
        <v>536415</v>
      </c>
      <c r="B643" s="3">
        <v>22951</v>
      </c>
      <c r="C643" s="3" t="s">
        <v>487</v>
      </c>
      <c r="D643" s="9">
        <v>2</v>
      </c>
      <c r="E643" s="4">
        <v>40835</v>
      </c>
      <c r="F643" s="5">
        <v>0.49791666666666667</v>
      </c>
      <c r="G643" s="6">
        <v>0.55000000000000004</v>
      </c>
      <c r="H643" s="3">
        <v>12838</v>
      </c>
      <c r="I643" s="3" t="s">
        <v>5</v>
      </c>
      <c r="J643" s="3" t="str">
        <f t="shared" si="30"/>
        <v>Sale</v>
      </c>
      <c r="K643" s="6">
        <f t="shared" si="31"/>
        <v>1.1000000000000001</v>
      </c>
      <c r="L643" s="6">
        <f t="shared" ref="L643:L683" si="32" xml:space="preserve"> ABS(K643)</f>
        <v>1.1000000000000001</v>
      </c>
    </row>
    <row r="644" spans="1:12" x14ac:dyDescent="0.35">
      <c r="A644" s="3">
        <v>536415</v>
      </c>
      <c r="B644" s="3">
        <v>21977</v>
      </c>
      <c r="C644" s="3" t="s">
        <v>139</v>
      </c>
      <c r="D644" s="9">
        <v>3</v>
      </c>
      <c r="E644" s="4">
        <v>40836</v>
      </c>
      <c r="F644" s="5">
        <v>0.49791666666666667</v>
      </c>
      <c r="G644" s="6">
        <v>0.55000000000000004</v>
      </c>
      <c r="H644" s="3">
        <v>12838</v>
      </c>
      <c r="I644" s="3" t="s">
        <v>5</v>
      </c>
      <c r="J644" s="3" t="str">
        <f t="shared" si="30"/>
        <v>Sale</v>
      </c>
      <c r="K644" s="6">
        <f t="shared" si="31"/>
        <v>1.6500000000000001</v>
      </c>
      <c r="L644" s="6">
        <f t="shared" si="32"/>
        <v>1.6500000000000001</v>
      </c>
    </row>
    <row r="645" spans="1:12" x14ac:dyDescent="0.35">
      <c r="A645" s="3">
        <v>536415</v>
      </c>
      <c r="B645" s="3">
        <v>22834</v>
      </c>
      <c r="C645" s="3" t="s">
        <v>488</v>
      </c>
      <c r="D645" s="9">
        <v>3</v>
      </c>
      <c r="E645" s="4">
        <v>40837</v>
      </c>
      <c r="F645" s="5">
        <v>0.49791666666666667</v>
      </c>
      <c r="G645" s="6">
        <v>2.1</v>
      </c>
      <c r="H645" s="3">
        <v>12838</v>
      </c>
      <c r="I645" s="3" t="s">
        <v>5</v>
      </c>
      <c r="J645" s="3" t="str">
        <f t="shared" si="30"/>
        <v>Sale</v>
      </c>
      <c r="K645" s="6">
        <f t="shared" si="31"/>
        <v>6.3000000000000007</v>
      </c>
      <c r="L645" s="6">
        <f t="shared" si="32"/>
        <v>6.3000000000000007</v>
      </c>
    </row>
    <row r="646" spans="1:12" x14ac:dyDescent="0.35">
      <c r="A646" s="3">
        <v>536415</v>
      </c>
      <c r="B646" s="3">
        <v>22867</v>
      </c>
      <c r="C646" s="3" t="s">
        <v>275</v>
      </c>
      <c r="D646" s="9">
        <v>3</v>
      </c>
      <c r="E646" s="4">
        <v>40838</v>
      </c>
      <c r="F646" s="5">
        <v>0.49791666666666667</v>
      </c>
      <c r="G646" s="6">
        <v>2.1</v>
      </c>
      <c r="H646" s="3">
        <v>12838</v>
      </c>
      <c r="I646" s="3" t="s">
        <v>5</v>
      </c>
      <c r="J646" s="3" t="str">
        <f t="shared" si="30"/>
        <v>Sale</v>
      </c>
      <c r="K646" s="6">
        <f t="shared" si="31"/>
        <v>6.3000000000000007</v>
      </c>
      <c r="L646" s="6">
        <f t="shared" si="32"/>
        <v>6.3000000000000007</v>
      </c>
    </row>
    <row r="647" spans="1:12" x14ac:dyDescent="0.35">
      <c r="A647" s="3">
        <v>536415</v>
      </c>
      <c r="B647" s="3">
        <v>22865</v>
      </c>
      <c r="C647" s="3" t="s">
        <v>265</v>
      </c>
      <c r="D647" s="9">
        <v>3</v>
      </c>
      <c r="E647" s="4">
        <v>40839</v>
      </c>
      <c r="F647" s="5">
        <v>0.49791666666666667</v>
      </c>
      <c r="G647" s="6">
        <v>2.1</v>
      </c>
      <c r="H647" s="3">
        <v>12838</v>
      </c>
      <c r="I647" s="3" t="s">
        <v>5</v>
      </c>
      <c r="J647" s="3" t="str">
        <f t="shared" si="30"/>
        <v>Sale</v>
      </c>
      <c r="K647" s="6">
        <f t="shared" si="31"/>
        <v>6.3000000000000007</v>
      </c>
      <c r="L647" s="6">
        <f t="shared" si="32"/>
        <v>6.3000000000000007</v>
      </c>
    </row>
    <row r="648" spans="1:12" x14ac:dyDescent="0.35">
      <c r="A648" s="3">
        <v>536415</v>
      </c>
      <c r="B648" s="3">
        <v>22632</v>
      </c>
      <c r="C648" s="3" t="s">
        <v>266</v>
      </c>
      <c r="D648" s="9">
        <v>3</v>
      </c>
      <c r="E648" s="4">
        <v>40840</v>
      </c>
      <c r="F648" s="5">
        <v>0.49791666666666667</v>
      </c>
      <c r="G648" s="6">
        <v>2.1</v>
      </c>
      <c r="H648" s="3">
        <v>12838</v>
      </c>
      <c r="I648" s="3" t="s">
        <v>5</v>
      </c>
      <c r="J648" s="3" t="str">
        <f t="shared" si="30"/>
        <v>Sale</v>
      </c>
      <c r="K648" s="6">
        <f t="shared" si="31"/>
        <v>6.3000000000000007</v>
      </c>
      <c r="L648" s="6">
        <f t="shared" si="32"/>
        <v>6.3000000000000007</v>
      </c>
    </row>
    <row r="649" spans="1:12" x14ac:dyDescent="0.35">
      <c r="A649" s="3">
        <v>536415</v>
      </c>
      <c r="B649" s="3">
        <v>21916</v>
      </c>
      <c r="C649" s="3" t="s">
        <v>489</v>
      </c>
      <c r="D649" s="9">
        <v>2</v>
      </c>
      <c r="E649" s="4">
        <v>40841</v>
      </c>
      <c r="F649" s="5">
        <v>0.49791666666666667</v>
      </c>
      <c r="G649" s="6">
        <v>0.42</v>
      </c>
      <c r="H649" s="3">
        <v>12838</v>
      </c>
      <c r="I649" s="3" t="s">
        <v>5</v>
      </c>
      <c r="J649" s="3" t="str">
        <f t="shared" si="30"/>
        <v>Sale</v>
      </c>
      <c r="K649" s="6">
        <f t="shared" si="31"/>
        <v>0.84</v>
      </c>
      <c r="L649" s="6">
        <f t="shared" si="32"/>
        <v>0.84</v>
      </c>
    </row>
    <row r="650" spans="1:12" x14ac:dyDescent="0.35">
      <c r="A650" s="3">
        <v>536415</v>
      </c>
      <c r="B650" s="3">
        <v>22587</v>
      </c>
      <c r="C650" s="3" t="s">
        <v>490</v>
      </c>
      <c r="D650" s="9">
        <v>4</v>
      </c>
      <c r="E650" s="4">
        <v>40842</v>
      </c>
      <c r="F650" s="5">
        <v>0.49791666666666667</v>
      </c>
      <c r="G650" s="6">
        <v>0.85</v>
      </c>
      <c r="H650" s="3">
        <v>12838</v>
      </c>
      <c r="I650" s="3" t="s">
        <v>5</v>
      </c>
      <c r="J650" s="3" t="str">
        <f t="shared" si="30"/>
        <v>Sale</v>
      </c>
      <c r="K650" s="6">
        <f t="shared" si="31"/>
        <v>3.4</v>
      </c>
      <c r="L650" s="6">
        <f t="shared" si="32"/>
        <v>3.4</v>
      </c>
    </row>
    <row r="651" spans="1:12" x14ac:dyDescent="0.35">
      <c r="A651" s="3">
        <v>536415</v>
      </c>
      <c r="B651" s="3">
        <v>22566</v>
      </c>
      <c r="C651" s="3" t="s">
        <v>491</v>
      </c>
      <c r="D651" s="9">
        <v>3</v>
      </c>
      <c r="E651" s="4">
        <v>40843</v>
      </c>
      <c r="F651" s="5">
        <v>0.49791666666666667</v>
      </c>
      <c r="G651" s="6">
        <v>0.85</v>
      </c>
      <c r="H651" s="3">
        <v>12838</v>
      </c>
      <c r="I651" s="3" t="s">
        <v>5</v>
      </c>
      <c r="J651" s="3" t="str">
        <f t="shared" si="30"/>
        <v>Sale</v>
      </c>
      <c r="K651" s="6">
        <f t="shared" si="31"/>
        <v>2.5499999999999998</v>
      </c>
      <c r="L651" s="6">
        <f t="shared" si="32"/>
        <v>2.5499999999999998</v>
      </c>
    </row>
    <row r="652" spans="1:12" x14ac:dyDescent="0.35">
      <c r="A652" s="3">
        <v>536415</v>
      </c>
      <c r="B652" s="3">
        <v>22565</v>
      </c>
      <c r="C652" s="3" t="s">
        <v>492</v>
      </c>
      <c r="D652" s="9">
        <v>3</v>
      </c>
      <c r="E652" s="4">
        <v>40844</v>
      </c>
      <c r="F652" s="5">
        <v>0.49791666666666667</v>
      </c>
      <c r="G652" s="6">
        <v>0.85</v>
      </c>
      <c r="H652" s="3">
        <v>12838</v>
      </c>
      <c r="I652" s="3" t="s">
        <v>5</v>
      </c>
      <c r="J652" s="3" t="str">
        <f t="shared" si="30"/>
        <v>Sale</v>
      </c>
      <c r="K652" s="6">
        <f t="shared" si="31"/>
        <v>2.5499999999999998</v>
      </c>
      <c r="L652" s="6">
        <f t="shared" si="32"/>
        <v>2.5499999999999998</v>
      </c>
    </row>
    <row r="653" spans="1:12" x14ac:dyDescent="0.35">
      <c r="A653" s="3">
        <v>536415</v>
      </c>
      <c r="B653" s="3">
        <v>22472</v>
      </c>
      <c r="C653" s="3" t="s">
        <v>493</v>
      </c>
      <c r="D653" s="9">
        <v>2</v>
      </c>
      <c r="E653" s="4">
        <v>40845</v>
      </c>
      <c r="F653" s="5">
        <v>0.49791666666666667</v>
      </c>
      <c r="G653" s="6">
        <v>4.95</v>
      </c>
      <c r="H653" s="3">
        <v>12838</v>
      </c>
      <c r="I653" s="3" t="s">
        <v>5</v>
      </c>
      <c r="J653" s="3" t="str">
        <f t="shared" si="30"/>
        <v>Sale</v>
      </c>
      <c r="K653" s="6">
        <f t="shared" si="31"/>
        <v>9.9</v>
      </c>
      <c r="L653" s="6">
        <f t="shared" si="32"/>
        <v>9.9</v>
      </c>
    </row>
    <row r="654" spans="1:12" x14ac:dyDescent="0.35">
      <c r="A654" s="3">
        <v>536415</v>
      </c>
      <c r="B654" s="3">
        <v>22557</v>
      </c>
      <c r="C654" s="3" t="s">
        <v>251</v>
      </c>
      <c r="D654" s="9">
        <v>3</v>
      </c>
      <c r="E654" s="4">
        <v>40846</v>
      </c>
      <c r="F654" s="5">
        <v>0.49791666666666667</v>
      </c>
      <c r="G654" s="6">
        <v>1.65</v>
      </c>
      <c r="H654" s="3">
        <v>12838</v>
      </c>
      <c r="I654" s="3" t="s">
        <v>5</v>
      </c>
      <c r="J654" s="3" t="str">
        <f t="shared" si="30"/>
        <v>Sale</v>
      </c>
      <c r="K654" s="6">
        <f t="shared" si="31"/>
        <v>4.9499999999999993</v>
      </c>
      <c r="L654" s="6">
        <f t="shared" si="32"/>
        <v>4.9499999999999993</v>
      </c>
    </row>
    <row r="655" spans="1:12" x14ac:dyDescent="0.35">
      <c r="A655" s="3">
        <v>536415</v>
      </c>
      <c r="B655" s="3">
        <v>22551</v>
      </c>
      <c r="C655" s="3" t="s">
        <v>494</v>
      </c>
      <c r="D655" s="9">
        <v>3</v>
      </c>
      <c r="E655" s="4">
        <v>40847</v>
      </c>
      <c r="F655" s="5">
        <v>0.49791666666666667</v>
      </c>
      <c r="G655" s="6">
        <v>1.65</v>
      </c>
      <c r="H655" s="3">
        <v>12838</v>
      </c>
      <c r="I655" s="3" t="s">
        <v>5</v>
      </c>
      <c r="J655" s="3" t="str">
        <f t="shared" si="30"/>
        <v>Sale</v>
      </c>
      <c r="K655" s="6">
        <f t="shared" si="31"/>
        <v>4.9499999999999993</v>
      </c>
      <c r="L655" s="6">
        <f t="shared" si="32"/>
        <v>4.9499999999999993</v>
      </c>
    </row>
    <row r="656" spans="1:12" x14ac:dyDescent="0.35">
      <c r="A656" s="3">
        <v>536415</v>
      </c>
      <c r="B656" s="3">
        <v>22554</v>
      </c>
      <c r="C656" s="3" t="s">
        <v>495</v>
      </c>
      <c r="D656" s="9">
        <v>3</v>
      </c>
      <c r="E656" s="4">
        <v>40848</v>
      </c>
      <c r="F656" s="5">
        <v>0.49791666666666667</v>
      </c>
      <c r="G656" s="6">
        <v>1.65</v>
      </c>
      <c r="H656" s="3">
        <v>12838</v>
      </c>
      <c r="I656" s="3" t="s">
        <v>5</v>
      </c>
      <c r="J656" s="3" t="str">
        <f t="shared" si="30"/>
        <v>Sale</v>
      </c>
      <c r="K656" s="6">
        <f t="shared" si="31"/>
        <v>4.9499999999999993</v>
      </c>
      <c r="L656" s="6">
        <f t="shared" si="32"/>
        <v>4.9499999999999993</v>
      </c>
    </row>
    <row r="657" spans="1:12" x14ac:dyDescent="0.35">
      <c r="A657" s="3">
        <v>536415</v>
      </c>
      <c r="B657" s="3">
        <v>22534</v>
      </c>
      <c r="C657" s="3" t="s">
        <v>496</v>
      </c>
      <c r="D657" s="9">
        <v>3</v>
      </c>
      <c r="E657" s="4">
        <v>40849</v>
      </c>
      <c r="F657" s="5">
        <v>0.49791666666666667</v>
      </c>
      <c r="G657" s="6">
        <v>0.42</v>
      </c>
      <c r="H657" s="3">
        <v>12838</v>
      </c>
      <c r="I657" s="3" t="s">
        <v>5</v>
      </c>
      <c r="J657" s="3" t="str">
        <f t="shared" si="30"/>
        <v>Sale</v>
      </c>
      <c r="K657" s="6">
        <f t="shared" si="31"/>
        <v>1.26</v>
      </c>
      <c r="L657" s="6">
        <f t="shared" si="32"/>
        <v>1.26</v>
      </c>
    </row>
    <row r="658" spans="1:12" x14ac:dyDescent="0.35">
      <c r="A658" s="3">
        <v>536415</v>
      </c>
      <c r="B658" s="3">
        <v>22531</v>
      </c>
      <c r="C658" s="3" t="s">
        <v>409</v>
      </c>
      <c r="D658" s="9">
        <v>3</v>
      </c>
      <c r="E658" s="4">
        <v>40850</v>
      </c>
      <c r="F658" s="5">
        <v>0.49791666666666667</v>
      </c>
      <c r="G658" s="6">
        <v>0.42</v>
      </c>
      <c r="H658" s="3">
        <v>12838</v>
      </c>
      <c r="I658" s="3" t="s">
        <v>5</v>
      </c>
      <c r="J658" s="3" t="str">
        <f t="shared" si="30"/>
        <v>Sale</v>
      </c>
      <c r="K658" s="6">
        <f t="shared" si="31"/>
        <v>1.26</v>
      </c>
      <c r="L658" s="6">
        <f t="shared" si="32"/>
        <v>1.26</v>
      </c>
    </row>
    <row r="659" spans="1:12" x14ac:dyDescent="0.35">
      <c r="A659" s="3">
        <v>536415</v>
      </c>
      <c r="B659" s="3">
        <v>22529</v>
      </c>
      <c r="C659" s="3" t="s">
        <v>497</v>
      </c>
      <c r="D659" s="9">
        <v>3</v>
      </c>
      <c r="E659" s="4">
        <v>40851</v>
      </c>
      <c r="F659" s="5">
        <v>0.49791666666666667</v>
      </c>
      <c r="G659" s="6">
        <v>0.42</v>
      </c>
      <c r="H659" s="3">
        <v>12838</v>
      </c>
      <c r="I659" s="3" t="s">
        <v>5</v>
      </c>
      <c r="J659" s="3" t="str">
        <f t="shared" si="30"/>
        <v>Sale</v>
      </c>
      <c r="K659" s="6">
        <f t="shared" si="31"/>
        <v>1.26</v>
      </c>
      <c r="L659" s="6">
        <f t="shared" si="32"/>
        <v>1.26</v>
      </c>
    </row>
    <row r="660" spans="1:12" x14ac:dyDescent="0.35">
      <c r="A660" s="3">
        <v>536415</v>
      </c>
      <c r="B660" s="3">
        <v>22530</v>
      </c>
      <c r="C660" s="3" t="s">
        <v>498</v>
      </c>
      <c r="D660" s="9">
        <v>3</v>
      </c>
      <c r="E660" s="4">
        <v>40852</v>
      </c>
      <c r="F660" s="5">
        <v>0.49791666666666667</v>
      </c>
      <c r="G660" s="6">
        <v>0.42</v>
      </c>
      <c r="H660" s="3">
        <v>12838</v>
      </c>
      <c r="I660" s="3" t="s">
        <v>5</v>
      </c>
      <c r="J660" s="3" t="str">
        <f t="shared" si="30"/>
        <v>Sale</v>
      </c>
      <c r="K660" s="6">
        <f t="shared" si="31"/>
        <v>1.26</v>
      </c>
      <c r="L660" s="6">
        <f t="shared" si="32"/>
        <v>1.26</v>
      </c>
    </row>
    <row r="661" spans="1:12" x14ac:dyDescent="0.35">
      <c r="A661" s="3">
        <v>536415</v>
      </c>
      <c r="B661" s="3" t="s">
        <v>59</v>
      </c>
      <c r="C661" s="3" t="s">
        <v>499</v>
      </c>
      <c r="D661" s="9">
        <v>3</v>
      </c>
      <c r="E661" s="4">
        <v>40853</v>
      </c>
      <c r="F661" s="5">
        <v>0.49791666666666667</v>
      </c>
      <c r="G661" s="6">
        <v>2.95</v>
      </c>
      <c r="H661" s="3">
        <v>12838</v>
      </c>
      <c r="I661" s="3" t="s">
        <v>5</v>
      </c>
      <c r="J661" s="3" t="str">
        <f t="shared" si="30"/>
        <v>Sale</v>
      </c>
      <c r="K661" s="6">
        <f t="shared" si="31"/>
        <v>8.8500000000000014</v>
      </c>
      <c r="L661" s="6">
        <f t="shared" si="32"/>
        <v>8.8500000000000014</v>
      </c>
    </row>
    <row r="662" spans="1:12" x14ac:dyDescent="0.35">
      <c r="A662" s="3">
        <v>536415</v>
      </c>
      <c r="B662" s="3">
        <v>22837</v>
      </c>
      <c r="C662" s="3" t="s">
        <v>341</v>
      </c>
      <c r="D662" s="9">
        <v>3</v>
      </c>
      <c r="E662" s="4">
        <v>40854</v>
      </c>
      <c r="F662" s="5">
        <v>0.49791666666666667</v>
      </c>
      <c r="G662" s="6">
        <v>4.6500000000000004</v>
      </c>
      <c r="H662" s="3">
        <v>12838</v>
      </c>
      <c r="I662" s="3" t="s">
        <v>5</v>
      </c>
      <c r="J662" s="3" t="str">
        <f t="shared" si="30"/>
        <v>Sale</v>
      </c>
      <c r="K662" s="6">
        <f t="shared" si="31"/>
        <v>13.950000000000001</v>
      </c>
      <c r="L662" s="6">
        <f t="shared" si="32"/>
        <v>13.950000000000001</v>
      </c>
    </row>
    <row r="663" spans="1:12" x14ac:dyDescent="0.35">
      <c r="A663" s="3">
        <v>536415</v>
      </c>
      <c r="B663" s="3" t="s">
        <v>60</v>
      </c>
      <c r="C663" s="3" t="s">
        <v>500</v>
      </c>
      <c r="D663" s="9">
        <v>2</v>
      </c>
      <c r="E663" s="4">
        <v>40855</v>
      </c>
      <c r="F663" s="5">
        <v>0.49791666666666667</v>
      </c>
      <c r="G663" s="6">
        <v>1.25</v>
      </c>
      <c r="H663" s="3">
        <v>12838</v>
      </c>
      <c r="I663" s="3" t="s">
        <v>5</v>
      </c>
      <c r="J663" s="3" t="str">
        <f t="shared" si="30"/>
        <v>Sale</v>
      </c>
      <c r="K663" s="6">
        <f t="shared" si="31"/>
        <v>2.5</v>
      </c>
      <c r="L663" s="6">
        <f t="shared" si="32"/>
        <v>2.5</v>
      </c>
    </row>
    <row r="664" spans="1:12" x14ac:dyDescent="0.35">
      <c r="A664" s="3">
        <v>536415</v>
      </c>
      <c r="B664" s="3">
        <v>22749</v>
      </c>
      <c r="C664" s="3" t="s">
        <v>80</v>
      </c>
      <c r="D664" s="9">
        <v>2</v>
      </c>
      <c r="E664" s="4">
        <v>40856</v>
      </c>
      <c r="F664" s="5">
        <v>0.49791666666666667</v>
      </c>
      <c r="G664" s="6">
        <v>3.75</v>
      </c>
      <c r="H664" s="3">
        <v>12838</v>
      </c>
      <c r="I664" s="3" t="s">
        <v>5</v>
      </c>
      <c r="J664" s="3" t="str">
        <f t="shared" si="30"/>
        <v>Sale</v>
      </c>
      <c r="K664" s="6">
        <f t="shared" si="31"/>
        <v>7.5</v>
      </c>
      <c r="L664" s="6">
        <f t="shared" si="32"/>
        <v>7.5</v>
      </c>
    </row>
    <row r="665" spans="1:12" x14ac:dyDescent="0.35">
      <c r="A665" s="3">
        <v>536415</v>
      </c>
      <c r="B665" s="3">
        <v>22807</v>
      </c>
      <c r="C665" s="3" t="s">
        <v>501</v>
      </c>
      <c r="D665" s="9">
        <v>12</v>
      </c>
      <c r="E665" s="4">
        <v>40857</v>
      </c>
      <c r="F665" s="5">
        <v>0.49791666666666667</v>
      </c>
      <c r="G665" s="6">
        <v>2.95</v>
      </c>
      <c r="H665" s="3">
        <v>12838</v>
      </c>
      <c r="I665" s="3" t="s">
        <v>5</v>
      </c>
      <c r="J665" s="3" t="str">
        <f t="shared" si="30"/>
        <v>Sale</v>
      </c>
      <c r="K665" s="6">
        <f t="shared" si="31"/>
        <v>35.400000000000006</v>
      </c>
      <c r="L665" s="6">
        <f t="shared" si="32"/>
        <v>35.400000000000006</v>
      </c>
    </row>
    <row r="666" spans="1:12" x14ac:dyDescent="0.35">
      <c r="A666" s="3">
        <v>536416</v>
      </c>
      <c r="B666" s="3">
        <v>21494</v>
      </c>
      <c r="C666" s="3" t="s">
        <v>502</v>
      </c>
      <c r="D666" s="9">
        <v>12</v>
      </c>
      <c r="E666" s="4">
        <v>40858</v>
      </c>
      <c r="F666" s="5">
        <v>0.49861111111111112</v>
      </c>
      <c r="G666" s="6">
        <v>1.25</v>
      </c>
      <c r="H666" s="3">
        <v>13255</v>
      </c>
      <c r="I666" s="3" t="s">
        <v>5</v>
      </c>
      <c r="J666" s="3" t="str">
        <f t="shared" si="30"/>
        <v>Sale</v>
      </c>
      <c r="K666" s="6">
        <f t="shared" si="31"/>
        <v>15</v>
      </c>
      <c r="L666" s="6">
        <f t="shared" si="32"/>
        <v>15</v>
      </c>
    </row>
    <row r="667" spans="1:12" x14ac:dyDescent="0.35">
      <c r="A667" s="3">
        <v>536416</v>
      </c>
      <c r="B667" s="3">
        <v>21915</v>
      </c>
      <c r="C667" s="3" t="s">
        <v>368</v>
      </c>
      <c r="D667" s="9">
        <v>72</v>
      </c>
      <c r="E667" s="4">
        <v>40859</v>
      </c>
      <c r="F667" s="5">
        <v>0.49861111111111112</v>
      </c>
      <c r="G667" s="6">
        <v>1.25</v>
      </c>
      <c r="H667" s="3">
        <v>13255</v>
      </c>
      <c r="I667" s="3" t="s">
        <v>5</v>
      </c>
      <c r="J667" s="3" t="str">
        <f t="shared" si="30"/>
        <v>Sale</v>
      </c>
      <c r="K667" s="6">
        <f t="shared" si="31"/>
        <v>90</v>
      </c>
      <c r="L667" s="6">
        <f t="shared" si="32"/>
        <v>90</v>
      </c>
    </row>
    <row r="668" spans="1:12" x14ac:dyDescent="0.35">
      <c r="A668" s="3">
        <v>536416</v>
      </c>
      <c r="B668" s="3">
        <v>22938</v>
      </c>
      <c r="C668" s="3" t="s">
        <v>503</v>
      </c>
      <c r="D668" s="9">
        <v>12</v>
      </c>
      <c r="E668" s="4">
        <v>40860</v>
      </c>
      <c r="F668" s="5">
        <v>0.49861111111111112</v>
      </c>
      <c r="G668" s="6">
        <v>1.95</v>
      </c>
      <c r="H668" s="3">
        <v>13255</v>
      </c>
      <c r="I668" s="3" t="s">
        <v>5</v>
      </c>
      <c r="J668" s="3" t="str">
        <f t="shared" si="30"/>
        <v>Sale</v>
      </c>
      <c r="K668" s="6">
        <f t="shared" si="31"/>
        <v>23.4</v>
      </c>
      <c r="L668" s="6">
        <f t="shared" si="32"/>
        <v>23.4</v>
      </c>
    </row>
    <row r="669" spans="1:12" x14ac:dyDescent="0.35">
      <c r="A669" s="3">
        <v>536416</v>
      </c>
      <c r="B669" s="3">
        <v>22768</v>
      </c>
      <c r="C669" s="3" t="s">
        <v>302</v>
      </c>
      <c r="D669" s="9">
        <v>4</v>
      </c>
      <c r="E669" s="4">
        <v>40861</v>
      </c>
      <c r="F669" s="5">
        <v>0.49861111111111112</v>
      </c>
      <c r="G669" s="6">
        <v>9.9499999999999993</v>
      </c>
      <c r="H669" s="3">
        <v>13255</v>
      </c>
      <c r="I669" s="3" t="s">
        <v>5</v>
      </c>
      <c r="J669" s="3" t="str">
        <f t="shared" si="30"/>
        <v>Sale</v>
      </c>
      <c r="K669" s="6">
        <f t="shared" si="31"/>
        <v>39.799999999999997</v>
      </c>
      <c r="L669" s="6">
        <f t="shared" si="32"/>
        <v>39.799999999999997</v>
      </c>
    </row>
    <row r="670" spans="1:12" x14ac:dyDescent="0.35">
      <c r="A670" s="3">
        <v>536416</v>
      </c>
      <c r="B670" s="3">
        <v>22767</v>
      </c>
      <c r="C670" s="3" t="s">
        <v>301</v>
      </c>
      <c r="D670" s="9">
        <v>4</v>
      </c>
      <c r="E670" s="4">
        <v>40862</v>
      </c>
      <c r="F670" s="5">
        <v>0.49861111111111112</v>
      </c>
      <c r="G670" s="6">
        <v>9.9499999999999993</v>
      </c>
      <c r="H670" s="3">
        <v>13255</v>
      </c>
      <c r="I670" s="3" t="s">
        <v>5</v>
      </c>
      <c r="J670" s="3" t="str">
        <f t="shared" si="30"/>
        <v>Sale</v>
      </c>
      <c r="K670" s="6">
        <f t="shared" si="31"/>
        <v>39.799999999999997</v>
      </c>
      <c r="L670" s="6">
        <f t="shared" si="32"/>
        <v>39.799999999999997</v>
      </c>
    </row>
    <row r="671" spans="1:12" x14ac:dyDescent="0.35">
      <c r="A671" s="3">
        <v>536416</v>
      </c>
      <c r="B671" s="3" t="s">
        <v>11</v>
      </c>
      <c r="C671" s="3" t="s">
        <v>123</v>
      </c>
      <c r="D671" s="9">
        <v>6</v>
      </c>
      <c r="E671" s="4">
        <v>40863</v>
      </c>
      <c r="F671" s="5">
        <v>0.49861111111111112</v>
      </c>
      <c r="G671" s="6">
        <v>2.95</v>
      </c>
      <c r="H671" s="3">
        <v>13255</v>
      </c>
      <c r="I671" s="3" t="s">
        <v>5</v>
      </c>
      <c r="J671" s="3" t="str">
        <f t="shared" si="30"/>
        <v>Sale</v>
      </c>
      <c r="K671" s="6">
        <f t="shared" si="31"/>
        <v>17.700000000000003</v>
      </c>
      <c r="L671" s="6">
        <f t="shared" si="32"/>
        <v>17.700000000000003</v>
      </c>
    </row>
    <row r="672" spans="1:12" x14ac:dyDescent="0.35">
      <c r="A672" s="3">
        <v>536420</v>
      </c>
      <c r="B672" s="3">
        <v>21889</v>
      </c>
      <c r="C672" s="3" t="s">
        <v>256</v>
      </c>
      <c r="D672" s="9">
        <v>12</v>
      </c>
      <c r="E672" s="4">
        <v>40864</v>
      </c>
      <c r="F672" s="5">
        <v>0.50208333333333333</v>
      </c>
      <c r="G672" s="6">
        <v>1.25</v>
      </c>
      <c r="H672" s="3">
        <v>16583</v>
      </c>
      <c r="I672" s="3" t="s">
        <v>5</v>
      </c>
      <c r="J672" s="3" t="str">
        <f t="shared" si="30"/>
        <v>Sale</v>
      </c>
      <c r="K672" s="6">
        <f t="shared" si="31"/>
        <v>15</v>
      </c>
      <c r="L672" s="6">
        <f t="shared" si="32"/>
        <v>15</v>
      </c>
    </row>
    <row r="673" spans="1:12" x14ac:dyDescent="0.35">
      <c r="A673" s="3">
        <v>536420</v>
      </c>
      <c r="B673" s="3">
        <v>21892</v>
      </c>
      <c r="C673" s="3" t="s">
        <v>504</v>
      </c>
      <c r="D673" s="9">
        <v>12</v>
      </c>
      <c r="E673" s="4">
        <v>40865</v>
      </c>
      <c r="F673" s="5">
        <v>0.50208333333333333</v>
      </c>
      <c r="G673" s="6">
        <v>1.25</v>
      </c>
      <c r="H673" s="3">
        <v>16583</v>
      </c>
      <c r="I673" s="3" t="s">
        <v>5</v>
      </c>
      <c r="J673" s="3" t="str">
        <f t="shared" si="30"/>
        <v>Sale</v>
      </c>
      <c r="K673" s="6">
        <f t="shared" si="31"/>
        <v>15</v>
      </c>
      <c r="L673" s="6">
        <f t="shared" si="32"/>
        <v>15</v>
      </c>
    </row>
    <row r="674" spans="1:12" x14ac:dyDescent="0.35">
      <c r="A674" s="3">
        <v>536420</v>
      </c>
      <c r="B674" s="3">
        <v>21891</v>
      </c>
      <c r="C674" s="3" t="s">
        <v>255</v>
      </c>
      <c r="D674" s="9">
        <v>12</v>
      </c>
      <c r="E674" s="4">
        <v>40866</v>
      </c>
      <c r="F674" s="5">
        <v>0.50208333333333333</v>
      </c>
      <c r="G674" s="6">
        <v>1.25</v>
      </c>
      <c r="H674" s="3">
        <v>16583</v>
      </c>
      <c r="I674" s="3" t="s">
        <v>5</v>
      </c>
      <c r="J674" s="3" t="str">
        <f t="shared" si="30"/>
        <v>Sale</v>
      </c>
      <c r="K674" s="6">
        <f t="shared" si="31"/>
        <v>15</v>
      </c>
      <c r="L674" s="6">
        <f t="shared" si="32"/>
        <v>15</v>
      </c>
    </row>
    <row r="675" spans="1:12" x14ac:dyDescent="0.35">
      <c r="A675" s="3">
        <v>536420</v>
      </c>
      <c r="B675" s="3">
        <v>21890</v>
      </c>
      <c r="C675" s="3" t="s">
        <v>505</v>
      </c>
      <c r="D675" s="9">
        <v>6</v>
      </c>
      <c r="E675" s="4">
        <v>40867</v>
      </c>
      <c r="F675" s="5">
        <v>0.50208333333333333</v>
      </c>
      <c r="G675" s="6">
        <v>2.95</v>
      </c>
      <c r="H675" s="3">
        <v>16583</v>
      </c>
      <c r="I675" s="3" t="s">
        <v>5</v>
      </c>
      <c r="J675" s="3" t="str">
        <f t="shared" si="30"/>
        <v>Sale</v>
      </c>
      <c r="K675" s="6">
        <f t="shared" si="31"/>
        <v>17.700000000000003</v>
      </c>
      <c r="L675" s="6">
        <f t="shared" si="32"/>
        <v>17.700000000000003</v>
      </c>
    </row>
    <row r="676" spans="1:12" x14ac:dyDescent="0.35">
      <c r="A676" s="3">
        <v>536420</v>
      </c>
      <c r="B676" s="3">
        <v>21718</v>
      </c>
      <c r="C676" s="3" t="s">
        <v>506</v>
      </c>
      <c r="D676" s="9">
        <v>12</v>
      </c>
      <c r="E676" s="4">
        <v>40868</v>
      </c>
      <c r="F676" s="5">
        <v>0.50208333333333333</v>
      </c>
      <c r="G676" s="6">
        <v>1.25</v>
      </c>
      <c r="H676" s="3">
        <v>16583</v>
      </c>
      <c r="I676" s="3" t="s">
        <v>5</v>
      </c>
      <c r="J676" s="3" t="str">
        <f t="shared" si="30"/>
        <v>Sale</v>
      </c>
      <c r="K676" s="6">
        <f t="shared" si="31"/>
        <v>15</v>
      </c>
      <c r="L676" s="6">
        <f t="shared" si="32"/>
        <v>15</v>
      </c>
    </row>
    <row r="677" spans="1:12" x14ac:dyDescent="0.35">
      <c r="A677" s="3">
        <v>536420</v>
      </c>
      <c r="B677" s="3">
        <v>21716</v>
      </c>
      <c r="C677" s="3" t="s">
        <v>507</v>
      </c>
      <c r="D677" s="9">
        <v>8</v>
      </c>
      <c r="E677" s="4">
        <v>40869</v>
      </c>
      <c r="F677" s="5">
        <v>0.50208333333333333</v>
      </c>
      <c r="G677" s="6">
        <v>2.5499999999999998</v>
      </c>
      <c r="H677" s="3">
        <v>16583</v>
      </c>
      <c r="I677" s="3" t="s">
        <v>5</v>
      </c>
      <c r="J677" s="3" t="str">
        <f t="shared" si="30"/>
        <v>Sale</v>
      </c>
      <c r="K677" s="6">
        <f t="shared" si="31"/>
        <v>20.399999999999999</v>
      </c>
      <c r="L677" s="6">
        <f t="shared" si="32"/>
        <v>20.399999999999999</v>
      </c>
    </row>
    <row r="678" spans="1:12" x14ac:dyDescent="0.35">
      <c r="A678" s="3">
        <v>536420</v>
      </c>
      <c r="B678" s="3">
        <v>21715</v>
      </c>
      <c r="C678" s="3" t="s">
        <v>508</v>
      </c>
      <c r="D678" s="9">
        <v>8</v>
      </c>
      <c r="E678" s="4">
        <v>40870</v>
      </c>
      <c r="F678" s="5">
        <v>0.50208333333333333</v>
      </c>
      <c r="G678" s="6">
        <v>2.5499999999999998</v>
      </c>
      <c r="H678" s="3">
        <v>16583</v>
      </c>
      <c r="I678" s="3" t="s">
        <v>5</v>
      </c>
      <c r="J678" s="3" t="str">
        <f t="shared" si="30"/>
        <v>Sale</v>
      </c>
      <c r="K678" s="6">
        <f t="shared" si="31"/>
        <v>20.399999999999999</v>
      </c>
      <c r="L678" s="6">
        <f t="shared" si="32"/>
        <v>20.399999999999999</v>
      </c>
    </row>
    <row r="679" spans="1:12" x14ac:dyDescent="0.35">
      <c r="A679" s="3">
        <v>536420</v>
      </c>
      <c r="B679" s="3">
        <v>22113</v>
      </c>
      <c r="C679" s="3" t="s">
        <v>509</v>
      </c>
      <c r="D679" s="9">
        <v>4</v>
      </c>
      <c r="E679" s="4">
        <v>40871</v>
      </c>
      <c r="F679" s="5">
        <v>0.50208333333333333</v>
      </c>
      <c r="G679" s="6">
        <v>3.75</v>
      </c>
      <c r="H679" s="3">
        <v>16583</v>
      </c>
      <c r="I679" s="3" t="s">
        <v>5</v>
      </c>
      <c r="J679" s="3" t="str">
        <f t="shared" si="30"/>
        <v>Sale</v>
      </c>
      <c r="K679" s="6">
        <f t="shared" si="31"/>
        <v>15</v>
      </c>
      <c r="L679" s="6">
        <f t="shared" si="32"/>
        <v>15</v>
      </c>
    </row>
    <row r="680" spans="1:12" x14ac:dyDescent="0.35">
      <c r="A680" s="3">
        <v>536420</v>
      </c>
      <c r="B680" s="3">
        <v>22111</v>
      </c>
      <c r="C680" s="3" t="s">
        <v>287</v>
      </c>
      <c r="D680" s="9">
        <v>3</v>
      </c>
      <c r="E680" s="4">
        <v>40872</v>
      </c>
      <c r="F680" s="5">
        <v>0.50208333333333333</v>
      </c>
      <c r="G680" s="6">
        <v>4.95</v>
      </c>
      <c r="H680" s="3">
        <v>16583</v>
      </c>
      <c r="I680" s="3" t="s">
        <v>5</v>
      </c>
      <c r="J680" s="3" t="str">
        <f t="shared" si="30"/>
        <v>Sale</v>
      </c>
      <c r="K680" s="6">
        <f t="shared" si="31"/>
        <v>14.850000000000001</v>
      </c>
      <c r="L680" s="6">
        <f t="shared" si="32"/>
        <v>14.850000000000001</v>
      </c>
    </row>
    <row r="681" spans="1:12" x14ac:dyDescent="0.35">
      <c r="A681" s="3">
        <v>536420</v>
      </c>
      <c r="B681" s="3">
        <v>22110</v>
      </c>
      <c r="C681" s="3" t="s">
        <v>288</v>
      </c>
      <c r="D681" s="9">
        <v>6</v>
      </c>
      <c r="E681" s="4">
        <v>40873</v>
      </c>
      <c r="F681" s="5">
        <v>0.50208333333333333</v>
      </c>
      <c r="G681" s="6">
        <v>2.5499999999999998</v>
      </c>
      <c r="H681" s="3">
        <v>16583</v>
      </c>
      <c r="I681" s="3" t="s">
        <v>5</v>
      </c>
      <c r="J681" s="3" t="str">
        <f t="shared" si="30"/>
        <v>Sale</v>
      </c>
      <c r="K681" s="6">
        <f t="shared" si="31"/>
        <v>15.299999999999999</v>
      </c>
      <c r="L681" s="6">
        <f t="shared" si="32"/>
        <v>15.299999999999999</v>
      </c>
    </row>
    <row r="682" spans="1:12" x14ac:dyDescent="0.35">
      <c r="A682" s="3">
        <v>536420</v>
      </c>
      <c r="B682" s="3">
        <v>22358</v>
      </c>
      <c r="C682" s="3" t="s">
        <v>510</v>
      </c>
      <c r="D682" s="9">
        <v>6</v>
      </c>
      <c r="E682" s="4">
        <v>40874</v>
      </c>
      <c r="F682" s="5">
        <v>0.50208333333333333</v>
      </c>
      <c r="G682" s="6">
        <v>2.95</v>
      </c>
      <c r="H682" s="3">
        <v>16583</v>
      </c>
      <c r="I682" s="3" t="s">
        <v>5</v>
      </c>
      <c r="J682" s="3" t="str">
        <f t="shared" si="30"/>
        <v>Sale</v>
      </c>
      <c r="K682" s="6">
        <f t="shared" si="31"/>
        <v>17.700000000000003</v>
      </c>
      <c r="L682" s="6">
        <f t="shared" si="32"/>
        <v>17.700000000000003</v>
      </c>
    </row>
    <row r="683" spans="1:12" x14ac:dyDescent="0.35">
      <c r="A683" s="3">
        <v>536420</v>
      </c>
      <c r="B683" s="3">
        <v>22357</v>
      </c>
      <c r="C683" s="3" t="s">
        <v>511</v>
      </c>
      <c r="D683" s="9">
        <v>4</v>
      </c>
      <c r="E683" s="4">
        <v>40875</v>
      </c>
      <c r="F683" s="5">
        <v>0.50208333333333333</v>
      </c>
      <c r="G683" s="6">
        <v>4.25</v>
      </c>
      <c r="H683" s="3">
        <v>16583</v>
      </c>
      <c r="I683" s="3" t="s">
        <v>5</v>
      </c>
      <c r="J683" s="3" t="str">
        <f t="shared" si="30"/>
        <v>Sale</v>
      </c>
      <c r="K683" s="6">
        <f t="shared" si="31"/>
        <v>17</v>
      </c>
      <c r="L683" s="6">
        <f t="shared" si="32"/>
        <v>17</v>
      </c>
    </row>
    <row r="684" spans="1:12" x14ac:dyDescent="0.35">
      <c r="A684"/>
      <c r="B684"/>
      <c r="C684"/>
      <c r="D684" s="10"/>
      <c r="E684" s="4"/>
      <c r="F684"/>
      <c r="G684" s="7"/>
      <c r="H684"/>
      <c r="I684"/>
      <c r="J684"/>
      <c r="K684" s="7"/>
    </row>
    <row r="685" spans="1:12" x14ac:dyDescent="0.35">
      <c r="A685"/>
      <c r="B685"/>
      <c r="C685"/>
      <c r="D685" s="10"/>
      <c r="E685" s="4"/>
      <c r="F685"/>
      <c r="G685" s="7"/>
      <c r="H685"/>
      <c r="I685"/>
      <c r="J685"/>
      <c r="K685" s="7"/>
    </row>
    <row r="686" spans="1:12" x14ac:dyDescent="0.35">
      <c r="A686"/>
      <c r="B686"/>
      <c r="C686"/>
      <c r="D686" s="10"/>
      <c r="E686" s="4"/>
      <c r="F686"/>
      <c r="G686" s="7"/>
      <c r="H686"/>
      <c r="I686"/>
      <c r="J686"/>
      <c r="K686" s="7"/>
    </row>
    <row r="687" spans="1:12" x14ac:dyDescent="0.35">
      <c r="A687"/>
      <c r="B687"/>
      <c r="C687"/>
      <c r="D687" s="10"/>
      <c r="E687" s="4"/>
      <c r="F687"/>
      <c r="G687" s="7"/>
      <c r="H687"/>
      <c r="I687"/>
      <c r="J687"/>
      <c r="K687" s="7"/>
    </row>
    <row r="688" spans="1:12" x14ac:dyDescent="0.35">
      <c r="A688"/>
      <c r="B688"/>
      <c r="C688"/>
      <c r="D688" s="10"/>
      <c r="E688" s="4"/>
      <c r="F688"/>
      <c r="G688" s="7"/>
      <c r="H688"/>
      <c r="I688"/>
      <c r="J688"/>
      <c r="K688" s="7"/>
    </row>
    <row r="689" spans="1:11" x14ac:dyDescent="0.35">
      <c r="A689"/>
      <c r="B689"/>
      <c r="C689"/>
      <c r="D689" s="10"/>
      <c r="E689" s="4"/>
      <c r="F689"/>
      <c r="G689" s="7"/>
      <c r="H689"/>
      <c r="I689"/>
      <c r="J689"/>
      <c r="K689" s="7"/>
    </row>
    <row r="690" spans="1:11" x14ac:dyDescent="0.35">
      <c r="A690"/>
      <c r="B690"/>
      <c r="C690"/>
      <c r="D690" s="10"/>
      <c r="E690" s="4"/>
      <c r="F690"/>
      <c r="G690" s="7"/>
      <c r="H690"/>
      <c r="I690"/>
      <c r="J690"/>
      <c r="K690" s="7"/>
    </row>
    <row r="691" spans="1:11" x14ac:dyDescent="0.35">
      <c r="A691"/>
      <c r="B691"/>
      <c r="C691"/>
      <c r="D691" s="10"/>
      <c r="E691" s="4"/>
      <c r="F691"/>
      <c r="G691" s="7"/>
      <c r="H691"/>
      <c r="I691"/>
      <c r="J691"/>
      <c r="K691" s="7"/>
    </row>
    <row r="692" spans="1:11" x14ac:dyDescent="0.35">
      <c r="A692"/>
      <c r="B692"/>
      <c r="C692"/>
      <c r="D692" s="10"/>
      <c r="E692" s="4"/>
      <c r="F692"/>
      <c r="G692" s="7"/>
      <c r="H692"/>
      <c r="I692"/>
      <c r="J692"/>
      <c r="K692" s="7"/>
    </row>
    <row r="693" spans="1:11" x14ac:dyDescent="0.35">
      <c r="A693"/>
      <c r="B693"/>
      <c r="C693"/>
      <c r="D693" s="10"/>
      <c r="E693" s="4"/>
      <c r="F693"/>
      <c r="G693" s="7"/>
      <c r="H693"/>
      <c r="I693"/>
      <c r="J693"/>
      <c r="K693" s="7"/>
    </row>
    <row r="694" spans="1:11" x14ac:dyDescent="0.35">
      <c r="A694"/>
      <c r="B694"/>
      <c r="C694"/>
      <c r="D694" s="10"/>
      <c r="E694" s="4"/>
      <c r="F694"/>
      <c r="G694" s="7"/>
      <c r="H694"/>
      <c r="I694"/>
      <c r="J694"/>
      <c r="K694" s="7"/>
    </row>
    <row r="695" spans="1:11" x14ac:dyDescent="0.35">
      <c r="A695"/>
      <c r="B695"/>
      <c r="C695"/>
      <c r="D695" s="10"/>
      <c r="E695" s="4"/>
      <c r="F695"/>
      <c r="G695" s="7"/>
      <c r="H695"/>
      <c r="I695"/>
      <c r="J695"/>
      <c r="K695" s="7"/>
    </row>
    <row r="696" spans="1:11" x14ac:dyDescent="0.35">
      <c r="A696"/>
      <c r="B696"/>
      <c r="C696"/>
      <c r="D696" s="10"/>
      <c r="E696" s="4"/>
      <c r="F696"/>
      <c r="G696" s="7"/>
      <c r="H696"/>
      <c r="I696"/>
      <c r="J696"/>
      <c r="K696" s="7"/>
    </row>
    <row r="697" spans="1:11" x14ac:dyDescent="0.35">
      <c r="A697"/>
      <c r="B697"/>
      <c r="C697"/>
      <c r="D697" s="10"/>
      <c r="E697" s="4"/>
      <c r="F697"/>
      <c r="G697" s="7"/>
      <c r="H697"/>
      <c r="I697"/>
      <c r="J697"/>
      <c r="K697" s="7"/>
    </row>
    <row r="698" spans="1:11" x14ac:dyDescent="0.35">
      <c r="A698"/>
      <c r="B698"/>
      <c r="C698"/>
      <c r="D698" s="10"/>
      <c r="E698" s="4"/>
      <c r="F698"/>
      <c r="G698" s="7"/>
      <c r="H698"/>
      <c r="I698"/>
      <c r="J698"/>
      <c r="K698" s="7"/>
    </row>
    <row r="699" spans="1:11" x14ac:dyDescent="0.35">
      <c r="A699"/>
      <c r="B699"/>
      <c r="C699"/>
      <c r="D699" s="10"/>
      <c r="E699" s="4"/>
      <c r="F699"/>
      <c r="G699" s="7"/>
      <c r="H699"/>
      <c r="I699"/>
      <c r="J699"/>
      <c r="K699" s="7"/>
    </row>
    <row r="700" spans="1:11" x14ac:dyDescent="0.35">
      <c r="A700"/>
      <c r="B700"/>
      <c r="C700"/>
      <c r="D700" s="10"/>
      <c r="E700" s="4"/>
      <c r="F700"/>
      <c r="G700" s="7"/>
      <c r="H700"/>
      <c r="I700"/>
      <c r="J700"/>
      <c r="K700" s="7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280C-D777-40A9-8CF8-B0C3CBD95E0C}">
  <dimension ref="A3:F36"/>
  <sheetViews>
    <sheetView topLeftCell="A27" zoomScale="90" zoomScaleNormal="90" workbookViewId="0">
      <selection activeCell="I12" sqref="I12"/>
    </sheetView>
  </sheetViews>
  <sheetFormatPr defaultRowHeight="14.5" x14ac:dyDescent="0.35"/>
  <cols>
    <col min="1" max="1" width="28.6328125" bestFit="1" customWidth="1"/>
    <col min="2" max="2" width="26.453125" customWidth="1"/>
    <col min="3" max="4" width="8.7265625" customWidth="1"/>
    <col min="5" max="5" width="12.90625" customWidth="1"/>
    <col min="6" max="6" width="27.1796875" bestFit="1" customWidth="1"/>
    <col min="7" max="7" width="26.6328125" bestFit="1" customWidth="1"/>
  </cols>
  <sheetData>
    <row r="3" spans="1:6" x14ac:dyDescent="0.35">
      <c r="A3" s="16" t="s">
        <v>512</v>
      </c>
      <c r="B3" t="s">
        <v>516</v>
      </c>
      <c r="E3" s="16" t="s">
        <v>512</v>
      </c>
      <c r="F3" t="s">
        <v>516</v>
      </c>
    </row>
    <row r="4" spans="1:6" x14ac:dyDescent="0.35">
      <c r="A4" s="17" t="s">
        <v>30</v>
      </c>
      <c r="B4" s="7">
        <v>358.25</v>
      </c>
      <c r="E4" s="17" t="s">
        <v>515</v>
      </c>
      <c r="F4" s="7">
        <v>-173.62999999999997</v>
      </c>
    </row>
    <row r="5" spans="1:6" x14ac:dyDescent="0.35">
      <c r="A5" s="17" t="s">
        <v>9</v>
      </c>
      <c r="B5" s="7">
        <v>855.86</v>
      </c>
      <c r="E5" s="17" t="s">
        <v>514</v>
      </c>
      <c r="F5" s="7">
        <v>18336.320000000029</v>
      </c>
    </row>
    <row r="6" spans="1:6" x14ac:dyDescent="0.35">
      <c r="A6" s="17" t="s">
        <v>46</v>
      </c>
      <c r="B6" s="7">
        <v>192.60000000000002</v>
      </c>
      <c r="E6" s="17" t="s">
        <v>513</v>
      </c>
      <c r="F6" s="7">
        <v>18162.690000000028</v>
      </c>
    </row>
    <row r="7" spans="1:6" x14ac:dyDescent="0.35">
      <c r="A7" s="17" t="s">
        <v>5</v>
      </c>
      <c r="B7" s="7">
        <v>16755.98000000005</v>
      </c>
    </row>
    <row r="8" spans="1:6" x14ac:dyDescent="0.35">
      <c r="A8" s="17" t="s">
        <v>513</v>
      </c>
      <c r="B8" s="7">
        <v>18162.69000000005</v>
      </c>
    </row>
    <row r="23" spans="1:6" ht="32.5" customHeight="1" x14ac:dyDescent="0.35"/>
    <row r="24" spans="1:6" ht="12.5" customHeight="1" x14ac:dyDescent="0.35"/>
    <row r="25" spans="1:6" x14ac:dyDescent="0.35">
      <c r="A25" s="16" t="s">
        <v>512</v>
      </c>
      <c r="B25" t="s">
        <v>517</v>
      </c>
      <c r="E25" s="16" t="s">
        <v>512</v>
      </c>
      <c r="F25" t="s">
        <v>516</v>
      </c>
    </row>
    <row r="26" spans="1:6" x14ac:dyDescent="0.35">
      <c r="A26" s="17" t="s">
        <v>107</v>
      </c>
      <c r="B26" s="10">
        <v>463</v>
      </c>
      <c r="E26" s="18">
        <v>40513.364583333336</v>
      </c>
      <c r="F26" s="7">
        <v>855.86</v>
      </c>
    </row>
    <row r="27" spans="1:6" x14ac:dyDescent="0.35">
      <c r="A27" s="17" t="s">
        <v>211</v>
      </c>
      <c r="B27" s="10">
        <v>432</v>
      </c>
      <c r="E27" s="18">
        <v>40513.397222222222</v>
      </c>
      <c r="F27" s="7">
        <v>588.66000000000008</v>
      </c>
    </row>
    <row r="28" spans="1:6" x14ac:dyDescent="0.35">
      <c r="A28" s="17" t="s">
        <v>236</v>
      </c>
      <c r="B28" s="10">
        <v>312</v>
      </c>
      <c r="E28" s="18">
        <v>40513.411805555559</v>
      </c>
      <c r="F28" s="7">
        <v>489.6</v>
      </c>
    </row>
    <row r="29" spans="1:6" x14ac:dyDescent="0.35">
      <c r="A29" s="17" t="s">
        <v>207</v>
      </c>
      <c r="B29" s="10">
        <v>202</v>
      </c>
      <c r="E29" s="18">
        <v>40513.414583333331</v>
      </c>
      <c r="F29" s="7">
        <v>508.20000000000005</v>
      </c>
    </row>
    <row r="30" spans="1:6" x14ac:dyDescent="0.35">
      <c r="A30" s="17" t="s">
        <v>137</v>
      </c>
      <c r="B30" s="10">
        <v>194</v>
      </c>
      <c r="E30" s="18">
        <v>40513.415277777778</v>
      </c>
      <c r="F30" s="7">
        <v>3193.92</v>
      </c>
    </row>
    <row r="31" spans="1:6" x14ac:dyDescent="0.35">
      <c r="A31" s="17" t="s">
        <v>513</v>
      </c>
      <c r="B31" s="10">
        <v>1603</v>
      </c>
      <c r="E31" s="18">
        <v>40513.429861111108</v>
      </c>
      <c r="F31" s="7">
        <v>1825.74</v>
      </c>
    </row>
    <row r="32" spans="1:6" x14ac:dyDescent="0.35">
      <c r="E32" s="18">
        <v>40513.443749999999</v>
      </c>
      <c r="F32" s="7">
        <v>1024.6800000000003</v>
      </c>
    </row>
    <row r="33" spans="5:6" x14ac:dyDescent="0.35">
      <c r="E33" s="18">
        <v>40513.449305555558</v>
      </c>
      <c r="F33" s="7">
        <v>507.88000000000011</v>
      </c>
    </row>
    <row r="34" spans="5:6" x14ac:dyDescent="0.35">
      <c r="E34" s="18">
        <v>40513.45208333333</v>
      </c>
      <c r="F34" s="7">
        <v>655.36000000000013</v>
      </c>
    </row>
    <row r="35" spans="5:6" x14ac:dyDescent="0.35">
      <c r="E35" s="18">
        <v>40513.486805555556</v>
      </c>
      <c r="F35" s="7">
        <v>783.1099999999999</v>
      </c>
    </row>
    <row r="36" spans="5:6" x14ac:dyDescent="0.35">
      <c r="E36" s="18" t="s">
        <v>513</v>
      </c>
      <c r="F36" s="7">
        <v>10433.010000000002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C569-C3C4-4919-8E4C-714768E71958}">
  <dimension ref="A1"/>
  <sheetViews>
    <sheetView showGridLines="0" topLeftCell="A2" workbookViewId="0">
      <selection activeCell="S2" sqref="S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Online Retail</vt:lpstr>
      <vt:lpstr>Pivot tables &amp; charts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Rakshita Srivastava</cp:lastModifiedBy>
  <dcterms:created xsi:type="dcterms:W3CDTF">2015-11-06T22:17:13Z</dcterms:created>
  <dcterms:modified xsi:type="dcterms:W3CDTF">2026-04-03T10:09:16Z</dcterms:modified>
</cp:coreProperties>
</file>